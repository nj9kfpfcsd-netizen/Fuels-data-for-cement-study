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yankHedau\Downloads\"/>
    </mc:Choice>
  </mc:AlternateContent>
  <xr:revisionPtr revIDLastSave="0" documentId="13_ncr:1_{BE119598-64AF-41B0-9E21-184664E05863}" xr6:coauthVersionLast="47" xr6:coauthVersionMax="47" xr10:uidLastSave="{00000000-0000-0000-0000-000000000000}"/>
  <bookViews>
    <workbookView xWindow="-110" yWindow="-110" windowWidth="19420" windowHeight="11500" firstSheet="8" activeTab="11" xr2:uid="{00000000-000D-0000-FFFF-FFFF00000000}"/>
  </bookViews>
  <sheets>
    <sheet name="Plant_Master" sheetId="1" r:id="rId1"/>
    <sheet name="Fuel_Data" sheetId="2" r:id="rId2"/>
    <sheet name="OS_Power_Data" sheetId="3" r:id="rId3"/>
    <sheet name="RE_Data" sheetId="4" r:id="rId4"/>
    <sheet name="SCM_Data" sheetId="5" r:id="rId5"/>
    <sheet name="ARM_Data" sheetId="6" r:id="rId6"/>
    <sheet name="WHR_Data" sheetId="7" r:id="rId7"/>
    <sheet name="Low_Carbon_Product_Data" sheetId="8" r:id="rId8"/>
    <sheet name="Pilot_Tech_Data" sheetId="9" r:id="rId9"/>
    <sheet name="Raw_Material_Consumption" sheetId="13" r:id="rId10"/>
    <sheet name="products" sheetId="14" r:id="rId11"/>
    <sheet name="SCM VS CF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4" l="1"/>
  <c r="Y9" i="1"/>
  <c r="Z9" i="1"/>
  <c r="AB9" i="1"/>
  <c r="AA9" i="1"/>
  <c r="X16" i="1"/>
  <c r="AC2" i="1"/>
  <c r="AC3" i="1"/>
  <c r="AC4" i="1"/>
  <c r="AC6" i="1"/>
  <c r="AC7" i="1"/>
  <c r="AC8" i="1"/>
  <c r="AC5" i="1"/>
  <c r="M109" i="2"/>
  <c r="M107" i="2"/>
  <c r="M106" i="2"/>
  <c r="M105" i="2"/>
  <c r="N109" i="2"/>
  <c r="I13" i="3"/>
  <c r="J13" i="3"/>
  <c r="K13" i="3"/>
  <c r="H13" i="3"/>
  <c r="O7" i="1"/>
  <c r="I10" i="1"/>
  <c r="I8" i="1"/>
  <c r="I4" i="1"/>
  <c r="I3" i="1"/>
  <c r="I2" i="1"/>
  <c r="F10" i="1"/>
  <c r="F4" i="1"/>
  <c r="F3" i="1"/>
  <c r="E10" i="1"/>
  <c r="E4" i="1"/>
  <c r="E3" i="1"/>
  <c r="D13" i="1"/>
  <c r="D11" i="1"/>
  <c r="D10" i="1"/>
  <c r="D9" i="1"/>
  <c r="D8" i="1"/>
  <c r="D4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Suruchi Ghosh</author>
  </authors>
  <commentList>
    <comment ref="D2" authorId="0" shapeId="0" xr:uid="{9356323A-FBD1-4076-9281-D3DC2F95F952}">
      <text>
        <r>
          <rPr>
            <b/>
            <sz val="9"/>
            <color indexed="81"/>
            <rFont val="Tahoma"/>
            <family val="2"/>
          </rPr>
          <t>Suruchi Ghosh:
only PPC. OPC, WPC mentioned- full forms added by myself</t>
        </r>
      </text>
    </comment>
    <comment ref="D3" authorId="0" shapeId="0" xr:uid="{152BB587-8F33-4C1B-B5F6-5DCDC3F6E59E}">
      <text>
        <r>
          <rPr>
            <b/>
            <sz val="9"/>
            <color indexed="81"/>
            <rFont val="Tahoma"/>
            <family val="2"/>
          </rPr>
          <t>Suruchi Ghosh:</t>
        </r>
        <r>
          <rPr>
            <sz val="9"/>
            <color indexed="81"/>
            <rFont val="Tahoma"/>
            <family val="2"/>
          </rPr>
          <t xml:space="preserve">
"OPC &amp; PPC" in response - OPC is oridinary portland cement therefore is not mentioned
</t>
        </r>
      </text>
    </comment>
    <comment ref="E5" authorId="0" shapeId="0" xr:uid="{0941816F-EAF7-41ED-AEAE-B923453BEB8F}">
      <text>
        <r>
          <rPr>
            <b/>
            <sz val="9"/>
            <color indexed="81"/>
            <rFont val="Tahoma"/>
            <family val="2"/>
          </rPr>
          <t>Suruchi Ghosh:</t>
        </r>
        <r>
          <rPr>
            <sz val="9"/>
            <color indexed="81"/>
            <rFont val="Tahoma"/>
            <family val="2"/>
          </rPr>
          <t xml:space="preserve">
Converted to kg/tonne from GHG overall In original response</t>
        </r>
      </text>
    </comment>
    <comment ref="E8" authorId="0" shapeId="0" xr:uid="{BB436264-4ED1-4A98-BBD1-4ACDDD22506D}">
      <text>
        <r>
          <rPr>
            <b/>
            <sz val="9"/>
            <color indexed="81"/>
            <rFont val="Tahoma"/>
            <family val="2"/>
          </rPr>
          <t>Suruchi Ghosh:</t>
        </r>
        <r>
          <rPr>
            <sz val="9"/>
            <color indexed="81"/>
            <rFont val="Tahoma"/>
            <family val="2"/>
          </rPr>
          <t xml:space="preserve">
% Given in offline repsonse - not in intensity</t>
        </r>
      </text>
    </comment>
    <comment ref="E9" authorId="0" shapeId="0" xr:uid="{16F98655-F81A-43E6-9110-B91A73099E05}">
      <text>
        <r>
          <rPr>
            <b/>
            <sz val="9"/>
            <color indexed="81"/>
            <rFont val="Tahoma"/>
            <family val="2"/>
          </rPr>
          <t>Suruchi Ghosh:</t>
        </r>
        <r>
          <rPr>
            <sz val="9"/>
            <color indexed="81"/>
            <rFont val="Tahoma"/>
            <family val="2"/>
          </rPr>
          <t xml:space="preserve">
intensity not given, response reads "PPC can be classified as low carbon cement. Our PPC is approx. 58 to 62 % of total cement production."</t>
        </r>
      </text>
    </comment>
  </commentList>
</comments>
</file>

<file path=xl/sharedStrings.xml><?xml version="1.0" encoding="utf-8"?>
<sst xmlns="http://schemas.openxmlformats.org/spreadsheetml/2006/main" count="2119" uniqueCount="435">
  <si>
    <t>S._No.</t>
  </si>
  <si>
    <t>Plant_name</t>
  </si>
  <si>
    <t>Abbreviation</t>
  </si>
  <si>
    <t>Peak_Demand_Elec</t>
  </si>
  <si>
    <t>Average_clinker_electrical_cons</t>
  </si>
  <si>
    <t>Annual_CO2_Emission_Source</t>
  </si>
  <si>
    <t>CO2_emissions_quantity</t>
  </si>
  <si>
    <t>decarbonization_technology</t>
  </si>
  <si>
    <t>decarbonization_technology_Cost</t>
  </si>
  <si>
    <t>Sagar Cements (M) Pvt. Ltd.</t>
  </si>
  <si>
    <t>SC</t>
  </si>
  <si>
    <t>-</t>
  </si>
  <si>
    <t>UltraTech Cement Limited, 
Unit: Vikram Cement Works</t>
  </si>
  <si>
    <t>UT-V</t>
  </si>
  <si>
    <t>WHRS</t>
  </si>
  <si>
    <t>UltraTech Cement Ltd. 
Unit- Sidhi Cement Works</t>
  </si>
  <si>
    <t>UT-S</t>
  </si>
  <si>
    <t>Bagged</t>
  </si>
  <si>
    <t>M/s. J K Cement Limited, Panna</t>
  </si>
  <si>
    <t>JK</t>
  </si>
  <si>
    <t>Prism Johnson Limited
 (Cement Division-Unit-1)</t>
  </si>
  <si>
    <t>PJL I</t>
  </si>
  <si>
    <t>Prism Johnson Limited
 (Cement Division-Unit-II)</t>
  </si>
  <si>
    <t>PJL II</t>
  </si>
  <si>
    <t xml:space="preserve">UltraTech Cement Limited, 
Unit: Bela Cement Works  </t>
  </si>
  <si>
    <t>UT-B</t>
  </si>
  <si>
    <t>Total Co2 Emission</t>
  </si>
  <si>
    <t xml:space="preserve">UltraTech Cement Limited, 
Unit: Maihar Cement Works  </t>
  </si>
  <si>
    <t>UT-M</t>
  </si>
  <si>
    <t xml:space="preserve">Total </t>
  </si>
  <si>
    <t xml:space="preserve">UltraTech Cement Limited, 
Unit: Dhar Cement Works  </t>
  </si>
  <si>
    <t>UT-D</t>
  </si>
  <si>
    <t>Diamond Cements , (Clinkerisation Unit 3.1MTPA)</t>
  </si>
  <si>
    <t>DC</t>
  </si>
  <si>
    <t>ACC Cement (Adani)</t>
  </si>
  <si>
    <t>Birla Corporation Limited</t>
  </si>
  <si>
    <t>BCL</t>
  </si>
  <si>
    <t>Fuel_Type</t>
  </si>
  <si>
    <t>Fuel_Supplier</t>
  </si>
  <si>
    <t>Fuel_supplier_Country</t>
  </si>
  <si>
    <t>Fuel_Calorific_Value</t>
  </si>
  <si>
    <t>waste management 3R Enviro India Pvt LTD etc.</t>
  </si>
  <si>
    <t>Anas–Green-Environment Limited</t>
  </si>
  <si>
    <t>GO-GREEN-ECO-TECH SOLUTIONS</t>
  </si>
  <si>
    <t>NCL (Northern Coal Ltd)</t>
  </si>
  <si>
    <t>OS_power_generation_Type</t>
  </si>
  <si>
    <t>OS_power_generation_Capacity</t>
  </si>
  <si>
    <t>Water Tube Boiler</t>
  </si>
  <si>
    <t>5.3</t>
  </si>
  <si>
    <t>CPP</t>
  </si>
  <si>
    <t>22</t>
  </si>
  <si>
    <t>Mounted</t>
  </si>
  <si>
    <t>WHRS Steam Turbine</t>
  </si>
  <si>
    <t>RE_Type</t>
  </si>
  <si>
    <t>RE_Annual_Generation</t>
  </si>
  <si>
    <t>Solar System</t>
  </si>
  <si>
    <t>0.1</t>
  </si>
  <si>
    <t>Solar Energy</t>
  </si>
  <si>
    <t>10970000</t>
  </si>
  <si>
    <t>Rooftop Solar System</t>
  </si>
  <si>
    <t>96000</t>
  </si>
  <si>
    <t>Ground mount solar plant</t>
  </si>
  <si>
    <t>23</t>
  </si>
  <si>
    <t>50000</t>
  </si>
  <si>
    <t>15</t>
  </si>
  <si>
    <t>Solar</t>
  </si>
  <si>
    <t>5</t>
  </si>
  <si>
    <t>SCM_Type</t>
  </si>
  <si>
    <t>SCM_Cement_Share</t>
  </si>
  <si>
    <t>Fly Ash</t>
  </si>
  <si>
    <t>ARM</t>
  </si>
  <si>
    <t>ARM_quantity_2022_23</t>
  </si>
  <si>
    <t>ARM_quantity_2023_24</t>
  </si>
  <si>
    <t>ARM_quantity_2024_25</t>
  </si>
  <si>
    <t>WHR_Technology</t>
  </si>
  <si>
    <t>WHR_Technology_Capacity</t>
  </si>
  <si>
    <t>WHR_Technology_Year</t>
  </si>
  <si>
    <t>WHR_Annual_Generation</t>
  </si>
  <si>
    <t>5.2</t>
  </si>
  <si>
    <t>16494.324</t>
  </si>
  <si>
    <t>Steam Turbine</t>
  </si>
  <si>
    <t>17.0</t>
  </si>
  <si>
    <t>6732</t>
  </si>
  <si>
    <t>22.0</t>
  </si>
  <si>
    <t>101067</t>
  </si>
  <si>
    <t>22.44</t>
  </si>
  <si>
    <t>10695.866</t>
  </si>
  <si>
    <t>13.0</t>
  </si>
  <si>
    <t>56132.2</t>
  </si>
  <si>
    <t>20.0</t>
  </si>
  <si>
    <t>55883.8</t>
  </si>
  <si>
    <t>68468</t>
  </si>
  <si>
    <t>15.0</t>
  </si>
  <si>
    <t>52969.5</t>
  </si>
  <si>
    <t>55169.0</t>
  </si>
  <si>
    <t>Steam Turbine (2 Lines)</t>
  </si>
  <si>
    <t>7.5</t>
  </si>
  <si>
    <t>28357366</t>
  </si>
  <si>
    <t>low_carbon_Product_Name</t>
  </si>
  <si>
    <t>Portland Pozzolana Cement</t>
  </si>
  <si>
    <t>(Blended Cement)</t>
  </si>
  <si>
    <t>piloted_technology</t>
  </si>
  <si>
    <t>Biomass Substitution</t>
  </si>
  <si>
    <t>Year</t>
  </si>
  <si>
    <t>RM_Consumption</t>
  </si>
  <si>
    <t>2023_24</t>
  </si>
  <si>
    <t>2024_25</t>
  </si>
  <si>
    <t>2022_23</t>
  </si>
  <si>
    <t>Limestone:
1. Crushed Lime Stone - 3977864
2. Lime Stone Purchases - 8781
Others:
1. Chemical Sludge - 312
2. Iron Sludge - 2195.32
3. Laterite - 37150
4. Laterite 2 - 80287
5. Red Mud - 282.90
6. Red Ochre - 19895.41</t>
  </si>
  <si>
    <t>Limestone: 2641218
Others:
1. High Alumina Laterite - 18688
2. Gypsum Natural - 71726
3. Laterite - 92873
4. Hand Broken - 20172
5. Red Mud - 0
6. FGD Gypsum - 0
7. Fly Ash - 524409</t>
  </si>
  <si>
    <t>Limestone: 2594456
Others:
1. High Alumina Laterite - 31436
2. Gypsum Natural - 65838
3. Laterite - 88379
4. Hand Broken - 17717
5. Red Mud - 0 
6. FGD Gypsum - 0
7. Fly Ash - 543062</t>
  </si>
  <si>
    <t>Limestone: 3104664
Others:
1. High Alumina Laterite - 8355
2. Gypsum Natural - 119414
3. Laterite - 108891
4. Hand Broken - 44451
5. Red Mud - NA
6. FGD Gypsum - 2150
7. Fly Ash - 512642</t>
  </si>
  <si>
    <t>Limestone: 3121603
Others:
1. High Alumina Laterite - 32726
2. Gypsum Natural - 118003
3. Laterite - 96725
4. Hand Broken - 4881
5. Red Mud - 3690
6. FGD Gypsum - 5270
7. Fly Ash - 923068</t>
  </si>
  <si>
    <t>Limestone: 3598574
Others:
1. High Alumina Laterite - 31733
2. Gypsum Natural - 192927
3. Laterite - 114256
4. Hand Broken - 14467
5. Red Mud - NA
6. FGD Gypsum - 18976
7. Fly Ash - 961245</t>
  </si>
  <si>
    <t>Limestone: 2833218
Others:
1. Laterite - 88551
2. Red Mud - 78284</t>
  </si>
  <si>
    <t>Limestone: 2427378
Others:
1. Laterite - 106941
2. Red Mud - 37424</t>
  </si>
  <si>
    <t>Limestone: 2555486
Others:
1. Laterite - 108373
2. Red Mud - 25419</t>
  </si>
  <si>
    <t>Limestone: 3333410
Others:
1. Laterite - 90017
2. Bauxite - 668
3. Red Ochre - 0
4. Red Mud - 82363
5. Fly Ash - 621311
6. Gypsum - 70639
7. Limestone Sweetner - 0
8. Slag - 163
9. ETP Sludge - 0</t>
  </si>
  <si>
    <t>Limestone: 3486372
Others:
1. Laterite - 91450
2. Bauxite - 0
3. Red Ochre - 0
4. Red Mud - 95892
5. Fly Ash - 540277
6. Gypsum - 58117
7. Limestone Sweetner - 0
8. Slag - 0
9. ETP Sludge - 0</t>
  </si>
  <si>
    <t>Limestone: 4125860
Others:
1. Laterite - 116319
2. Bauxite - 0
3. Red Ochre - 0
4. Red Mud - 107056
5. Fly Ash - 533407
6. Gypsum - 49726
7. Limestone Sweetner - 302415
8. Slag - 25
9. ETP Sludge - 19</t>
  </si>
  <si>
    <t>Limestone: 4390778.97
Others:
1. Laterite high grade - 2679 
2. Bauxite - 26259.45
3. Red Ochre -80
4. Fly Ash - 730147.636
5. Pond Ash - 16202.93
6. Slag Copper - 39864.45
7. BF Sludge - 462
8. Muram - NA
9. Slag - NA
10. Sweetner - NA</t>
  </si>
  <si>
    <t>Limestone: 7210901.49
Others:
1. Laterite high grade - 0.85 
2. Bauxite - 8742.46
3. Red Ochre - 167.50
4. Fly Ash - 886505.65
5. Pond Ash -  48817.97
6. Slag Copper - 76773. 63
7. BF Sludge - 855.75
8. Muram - 199997.09
9. Slag - 1078.42
10. Sweetner - 7528.81</t>
  </si>
  <si>
    <t>Limestone: 7569661.16
Others:
1. Laterite high grade - NA
2. Bauxite - 18734
3. Red Ochre - NA
4. Fly Ash - 983321
5. Pond Ash - 15632
6. Slag Copper - 38582
7. BF Sludge -  NA
8. Muram - 82002.90
9. Slag - NA
10. Sweetner - 384</t>
  </si>
  <si>
    <t>Limestone: 3496938
Iron Ore: 6561
Others: 
1. Limestone Highgrade/Sweetner - 450170
2. Laterite - 33934
3. Bauxite - 26439</t>
  </si>
  <si>
    <t>Limestone: 3826572
Iron Ore: 30368
Others: 
1. Limestone Highgrade/Sweetner - 618083
2. Laterite - 13563
3. Bauxite - 9937</t>
  </si>
  <si>
    <t>Limestone: 3596824
Iron Ore: 9597 
Others: 
1. Limestone Highgrade/Sweetner - 383221 
2. Laterite - 28027
3. Bauxite - 4586</t>
  </si>
  <si>
    <t xml:space="preserve">Limestone: 1819378.453
Clay: 179260.2656
Others: 
1. Laterite - 1872.299
2. Coal - 211286.455
3. Pet Coke - 982.818
4. Bed Ash - 36.2961
5. Slag - 4759.2400
6. Bauxite -  0
7. Fly Ash - 77307.36
8. Diesel - 145.3664
9. Soda Ash - 30.49
10. Allumion Laterite - 179260.2656
</t>
  </si>
  <si>
    <t xml:space="preserve">Limestone: 1671687.921
Clay: 183937.9518
Others: 
1. Laterite - 28497.962
2. Coal - 207162.045
3. Pet Coke -  0
4. Bed Ash - 69.0241
5. Slag - 20434.9015
6. Bauxite -  0
7. Fly Ash - 77307.35
8. Diesel -  126.6979
9. Soda Ash - 24.27
10. Allumion Laterite - 48570.64947
</t>
  </si>
  <si>
    <t>Limestone: 4169851
Iron Ore: 6561
Others:
1. Laterite - 95659
2. Bauxite - 2542
3. Lo silica - 43458
4. Gypsum - 85469
5. Fly ash - 892370
6. LCA (Lime stone in Cement Production) - 4400</t>
  </si>
  <si>
    <t>Limestone: 4273317
Iron Ore: 30368
Others:
1. Laterite - 127102
2. Bauxite - 18976
3. Lo silica - 16909
4. Gypsum - 82194
5. Fly ash - 839949
6. LCA (Lime stone in Cement Production) - 12573</t>
  </si>
  <si>
    <t>Limestone: 4390648
Iron Ore: 9597
Others:
1. Laterite - 139971
2. Bauxite - 27511
3. Lo silica - -
4. Gypsum - 71156
5. Fly ash - 741779
6. LCA (Lime stone in Cement Production) - 17240</t>
  </si>
  <si>
    <t>Kiln_Temp_avg</t>
  </si>
  <si>
    <t>ACC</t>
  </si>
  <si>
    <t>Electricity_Others_source</t>
  </si>
  <si>
    <t>Total Cement Mill, Total Packing, Utility</t>
  </si>
  <si>
    <t>Crusher &amp; Misc Power</t>
  </si>
  <si>
    <t xml:space="preserve">Total Annual Electricity Consumption </t>
  </si>
  <si>
    <t>Annual Total Electricity Consumption</t>
  </si>
  <si>
    <t>Annual Electricity Consumption, Upto Clinkerization Section, Aux &amp; Offices, Crushers, Packing Plant</t>
  </si>
  <si>
    <t>Colony Power Consumption</t>
  </si>
  <si>
    <t>Electricity Consumption in Grinding Lines</t>
  </si>
  <si>
    <t>Electricity Consumption in Clinker</t>
  </si>
  <si>
    <t>Electricity Consumption in Auxiliaries</t>
  </si>
  <si>
    <t>Electricity Consumption in Offices</t>
  </si>
  <si>
    <t>Electricity Consumption in Others</t>
  </si>
  <si>
    <t>Total Co2 emission sources</t>
  </si>
  <si>
    <t>AF and Biomass (Kiln)</t>
  </si>
  <si>
    <t>internal transport and equipment</t>
  </si>
  <si>
    <t>other source</t>
  </si>
  <si>
    <t xml:space="preserve"> Scope 2 absolute CO2 emission (purchased energy)</t>
  </si>
  <si>
    <t>Gross CO2 Emission from raw materials (Calcination)</t>
  </si>
  <si>
    <t>From Process (Scope 1)</t>
  </si>
  <si>
    <t xml:space="preserve">Electricity (Scope 2) </t>
  </si>
  <si>
    <t>Process (Calcination)</t>
  </si>
  <si>
    <t>Combustion (fuel)</t>
  </si>
  <si>
    <t>Electricity (scope 2)</t>
  </si>
  <si>
    <t>Others</t>
  </si>
  <si>
    <t>Scope 3 (Logistics)</t>
  </si>
  <si>
    <t>Scope 2 (Power)</t>
  </si>
  <si>
    <t>NA</t>
  </si>
  <si>
    <t>Scope 1 (Fuel)</t>
  </si>
  <si>
    <t>Electricity</t>
  </si>
  <si>
    <t>Electricity (Scope 2)</t>
  </si>
  <si>
    <t>Fuel (Scope 1)</t>
  </si>
  <si>
    <t>Plants Abbreviation</t>
  </si>
  <si>
    <t>packaging_types</t>
  </si>
  <si>
    <t>Packaging_weights(KG)</t>
  </si>
  <si>
    <t>bulk</t>
  </si>
  <si>
    <t>Bulk</t>
  </si>
  <si>
    <t>bagged</t>
  </si>
  <si>
    <t>HDPE Bags</t>
  </si>
  <si>
    <t>Alternate fuel handling cost</t>
  </si>
  <si>
    <t>Alternative Fuels (AFR) Handling System</t>
  </si>
  <si>
    <t>Solar Power Unit 1</t>
  </si>
  <si>
    <t>Solar Power Unit 2</t>
  </si>
  <si>
    <t>Solid + Liquid AFR</t>
  </si>
  <si>
    <t>WHRS Line 2 (2023)</t>
  </si>
  <si>
    <t>WHRS Line 1 (2018)</t>
  </si>
  <si>
    <t>AFR Handling System</t>
  </si>
  <si>
    <t>Solar Power Plant</t>
  </si>
  <si>
    <t>EV dumpers</t>
  </si>
  <si>
    <t>EV Loader &amp; Charging Station</t>
  </si>
  <si>
    <t>Pet Coke</t>
  </si>
  <si>
    <t>Indian Coal (G-10)</t>
  </si>
  <si>
    <t>Indian Coal (G-8)</t>
  </si>
  <si>
    <t>Carbonaceous Shale</t>
  </si>
  <si>
    <t>US origin Coal</t>
  </si>
  <si>
    <t>AFR - Plastic Waste</t>
  </si>
  <si>
    <t>AFR - Bio Mass</t>
  </si>
  <si>
    <t>Coal</t>
  </si>
  <si>
    <t>Biomass</t>
  </si>
  <si>
    <t>Others AFR</t>
  </si>
  <si>
    <t>Coal - Domestic</t>
  </si>
  <si>
    <t>Coal - Imported</t>
  </si>
  <si>
    <t>Pet Coke - Domestic</t>
  </si>
  <si>
    <t>Pet Coke - Imported</t>
  </si>
  <si>
    <t>AFR/Biomass/others</t>
  </si>
  <si>
    <t>Diesel</t>
  </si>
  <si>
    <t>RDF</t>
  </si>
  <si>
    <t>Solid HW</t>
  </si>
  <si>
    <t>Liquid HW</t>
  </si>
  <si>
    <t>Indigenous Coal</t>
  </si>
  <si>
    <t>Imported Coal</t>
  </si>
  <si>
    <t>Indigenous Petcoke</t>
  </si>
  <si>
    <t>Domestic Coal</t>
  </si>
  <si>
    <t>Domestic Pet Coke</t>
  </si>
  <si>
    <t>Imported Pet Coke</t>
  </si>
  <si>
    <t>Agro Waste (Rice Husk)</t>
  </si>
  <si>
    <t>Waste Wood</t>
  </si>
  <si>
    <t>Polythene Waste</t>
  </si>
  <si>
    <t>FMCG</t>
  </si>
  <si>
    <t>Bio-Waste</t>
  </si>
  <si>
    <t>Plastic waste Paper Mill Unshredded</t>
  </si>
  <si>
    <t>Waste Mix Solid</t>
  </si>
  <si>
    <t>Mustard Husk</t>
  </si>
  <si>
    <t>Saree Waste</t>
  </si>
  <si>
    <t>Shredded Non-Hazardous Paper Waste</t>
  </si>
  <si>
    <t>Wood Chips</t>
  </si>
  <si>
    <t>Imported Petcoke</t>
  </si>
  <si>
    <t>Domestic</t>
  </si>
  <si>
    <t>Imported</t>
  </si>
  <si>
    <t>Domestic and Imported</t>
  </si>
  <si>
    <t>Govt Mines &amp; Open Market</t>
  </si>
  <si>
    <t>Import or Export Both</t>
  </si>
  <si>
    <t>Beil Infrastructure Limited Banas</t>
  </si>
  <si>
    <t>Beil Infrastructure ltd.</t>
  </si>
  <si>
    <t>South Eastern Coal Ltd.</t>
  </si>
  <si>
    <t>Javelin Global Commodities (UK) Ltd.</t>
  </si>
  <si>
    <t>Sinopec International</t>
  </si>
  <si>
    <t>Reliance Industries, IOCL &amp; BPCL</t>
  </si>
  <si>
    <t>SECL (South East Coal Field Ltd) &amp;</t>
  </si>
  <si>
    <t>USA</t>
  </si>
  <si>
    <t>BPCL Pet Coke (Bharat Petroleum Corporation, IOCL)</t>
  </si>
  <si>
    <t>USA, Saudi</t>
  </si>
  <si>
    <t>IOCL</t>
  </si>
  <si>
    <t>PHIL Coal/SECL</t>
  </si>
  <si>
    <t>BPCL/IOCL/ NAYARA</t>
  </si>
  <si>
    <t>Chhatishgarh  Po+T11+T14</t>
  </si>
  <si>
    <t>India</t>
  </si>
  <si>
    <t>US</t>
  </si>
  <si>
    <t>USA &amp; Saudi</t>
  </si>
  <si>
    <t>USA, Oman, Saudi</t>
  </si>
  <si>
    <t>Nil</t>
  </si>
  <si>
    <t>Non-Hazardous Waste</t>
  </si>
  <si>
    <t>Hazardous Waste</t>
  </si>
  <si>
    <t>AF Plastic Waste</t>
  </si>
  <si>
    <t>AF Plastic Waste Shredded</t>
  </si>
  <si>
    <t>AF MSWRDR Shredded</t>
  </si>
  <si>
    <t>AF Biomass Briquette</t>
  </si>
  <si>
    <t>AF MSWRDF</t>
  </si>
  <si>
    <t>AF Cloth Waste</t>
  </si>
  <si>
    <t>Non Hazardous Waste</t>
  </si>
  <si>
    <t>Process Waste</t>
  </si>
  <si>
    <t>Distillation Residue</t>
  </si>
  <si>
    <t>Spent Solvent</t>
  </si>
  <si>
    <t>Process Residue</t>
  </si>
  <si>
    <t>Waste Mix Liquid</t>
  </si>
  <si>
    <t>RDF Plastic Waste</t>
  </si>
  <si>
    <t>Bio Briquettes</t>
  </si>
  <si>
    <t>Biomass (Rice Husk/Mix Husk/ Soya Husk)</t>
  </si>
  <si>
    <t>Flexible plastic waste/RDF</t>
  </si>
  <si>
    <t>Bio-waste</t>
  </si>
  <si>
    <t>Plastic waste Paper Mill Un-shredded</t>
  </si>
  <si>
    <t>Waste Mix Solid (HW)</t>
  </si>
  <si>
    <t>RDF (Refused Drive Fuel)</t>
  </si>
  <si>
    <t>Saree waste</t>
  </si>
  <si>
    <t>Shredded non-hazardous paper waste</t>
  </si>
  <si>
    <t>Wood chips</t>
  </si>
  <si>
    <t>Solar Power Plant (DC Capacity)</t>
  </si>
  <si>
    <t>Floating Solar Plant (DC Capacity)</t>
  </si>
  <si>
    <t>WHRS - Steam Turbine</t>
  </si>
  <si>
    <t>Solar Unit - Ground</t>
  </si>
  <si>
    <t>Captive power plant (CPP)</t>
  </si>
  <si>
    <t>WHRS (Lines I, II &amp; III)</t>
  </si>
  <si>
    <t>WHRS Line IV</t>
  </si>
  <si>
    <t>Solar Ground Mounter</t>
  </si>
  <si>
    <t>Solar Power Plant (AC Capacity)</t>
  </si>
  <si>
    <t>Solar On Site</t>
  </si>
  <si>
    <t>Solar Roof Top</t>
  </si>
  <si>
    <t>Solar Off Site</t>
  </si>
  <si>
    <t>Wind Off Site</t>
  </si>
  <si>
    <t>Hybrid Power through PFA (Solar + Wind)</t>
  </si>
  <si>
    <t>RE_Capacity_MWh</t>
  </si>
  <si>
    <t>Solar On Site (ground mounted)</t>
  </si>
  <si>
    <t>Onsite Solar (DC Capacity)</t>
  </si>
  <si>
    <t>Solar On Site (Floating solar)</t>
  </si>
  <si>
    <t>Solar On Site (Roof top at TPP)</t>
  </si>
  <si>
    <t xml:space="preserve">Hybrid Power </t>
  </si>
  <si>
    <t>Onsite Solar (AC Capacity)</t>
  </si>
  <si>
    <t>Onsite solar power plant</t>
  </si>
  <si>
    <t>Clinker</t>
  </si>
  <si>
    <t>Gypsum</t>
  </si>
  <si>
    <t>Slag</t>
  </si>
  <si>
    <t>Performance Improver (PI)</t>
  </si>
  <si>
    <t>Limestone</t>
  </si>
  <si>
    <t>Limestone (PI)</t>
  </si>
  <si>
    <t>Phospho Gypsum</t>
  </si>
  <si>
    <t>Fly ash</t>
  </si>
  <si>
    <t>AOD Slag</t>
  </si>
  <si>
    <t>FGD Gypsum</t>
  </si>
  <si>
    <t>Copper Slag</t>
  </si>
  <si>
    <t>CALCIUM SULPHATE</t>
  </si>
  <si>
    <t>GYPSUMALTERNATE</t>
  </si>
  <si>
    <t>GYPSUMCHEMICAL</t>
  </si>
  <si>
    <t>GYPSUMHYDRATED</t>
  </si>
  <si>
    <t>RED MUD</t>
  </si>
  <si>
    <t>ARALUMINA OR ALUMINA SALT</t>
  </si>
  <si>
    <t>GYPSUMFGD</t>
  </si>
  <si>
    <t>SLAG</t>
  </si>
  <si>
    <t>ETP SLUDGE</t>
  </si>
  <si>
    <t>Red Mud</t>
  </si>
  <si>
    <t>Gypsum Unhydrated</t>
  </si>
  <si>
    <t>Chemical Sludge</t>
  </si>
  <si>
    <t>Iron Sludge</t>
  </si>
  <si>
    <t>Bedash</t>
  </si>
  <si>
    <t>Badash</t>
  </si>
  <si>
    <t>Chemical and FGD Gypsum</t>
  </si>
  <si>
    <t>Redmud</t>
  </si>
  <si>
    <t>Cloth Waste</t>
  </si>
  <si>
    <t>Plastic Waste (RDF)</t>
  </si>
  <si>
    <t>Cow Dung (CPP)</t>
  </si>
  <si>
    <t>Calcium sulphate</t>
  </si>
  <si>
    <t>Gypsum chemical</t>
  </si>
  <si>
    <t>Gypsum carbon</t>
  </si>
  <si>
    <t>Gypsum phospho</t>
  </si>
  <si>
    <t>Gypsum chemical haz</t>
  </si>
  <si>
    <t>Gypsum unhydrated</t>
  </si>
  <si>
    <t>Gypsum marine</t>
  </si>
  <si>
    <t>Gypsum FGD</t>
  </si>
  <si>
    <t>PI as limestone</t>
  </si>
  <si>
    <t>Flyash dry + flyash drye</t>
  </si>
  <si>
    <t>Flyash pond</t>
  </si>
  <si>
    <t>Water Tube Boiler (ORC/Steam Turbine)</t>
  </si>
  <si>
    <t>low_carbon_Product_Estimated_CO2_Kg</t>
  </si>
  <si>
    <t>Waterproofing Compound/Powder</t>
  </si>
  <si>
    <t>Brand 1 - JK Super PPC</t>
  </si>
  <si>
    <t>Brand 2 - JK Super Strong</t>
  </si>
  <si>
    <t>Brand 3 - JK Super Protect</t>
  </si>
  <si>
    <t>evaluating Biomass</t>
  </si>
  <si>
    <t>Alternative fuels and installation of system under process</t>
  </si>
  <si>
    <t>CO2 Capture using oxyfuel-based calciner</t>
  </si>
  <si>
    <t>increasing the Thermal Substitution Rate (TSR) to 25%.</t>
  </si>
  <si>
    <t>AFR</t>
  </si>
  <si>
    <t>AFR, fuel switching</t>
  </si>
  <si>
    <t xml:space="preserve">Thermal Substitution Rate (TSR) </t>
  </si>
  <si>
    <t>enhance the Thermal Substitution Rate (TSR)</t>
  </si>
  <si>
    <t xml:space="preserve">Fuel substitution with AFR </t>
  </si>
  <si>
    <t>Laterite</t>
  </si>
  <si>
    <t>Feldspar</t>
  </si>
  <si>
    <t>Raw_Material</t>
  </si>
  <si>
    <t>Red Ocher Dry</t>
  </si>
  <si>
    <t>Laterite Grade Iron</t>
  </si>
  <si>
    <t>Murrum Dry/Basalt</t>
  </si>
  <si>
    <t>Copper Slag Dry</t>
  </si>
  <si>
    <t>Bauxite</t>
  </si>
  <si>
    <t>Red Ochre</t>
  </si>
  <si>
    <t>Cement Coal</t>
  </si>
  <si>
    <t>Chemical Gypsum</t>
  </si>
  <si>
    <t>Mineral Gypsum</t>
  </si>
  <si>
    <t>Pet coke</t>
  </si>
  <si>
    <t>Red Mud/ Iron Ore</t>
  </si>
  <si>
    <t>Power Coal</t>
  </si>
  <si>
    <t>Crushed Lime Stone</t>
  </si>
  <si>
    <t>Lime Stone Purchases</t>
  </si>
  <si>
    <t>Iron Ore Fines</t>
  </si>
  <si>
    <t>Laterite 2</t>
  </si>
  <si>
    <t>Fuel_Quantity (Tonnes)</t>
  </si>
  <si>
    <t>Alternate_Fuels_Category</t>
  </si>
  <si>
    <t>Alternate_Fuel_Annual_Quantity (MT)</t>
  </si>
  <si>
    <t>Parent Group</t>
  </si>
  <si>
    <t>Sub-category</t>
  </si>
  <si>
    <t>Plants Using</t>
  </si>
  <si>
    <t>Domestic Coal / Imported Coal / Indian Coal / US Coal</t>
  </si>
  <si>
    <t>SC, UT-V, UT-S, JK, PJL I, PJL II, UT-B, UT-M, UT-D, DC, BCL</t>
  </si>
  <si>
    <t>Domestic / Imported / Indigenous / Generic</t>
  </si>
  <si>
    <t>Biomass, Bio Briquettes, Rice Husk, Mustard Husk, Soya Husk, Wood Chips, Waste Wood, Bio-waste</t>
  </si>
  <si>
    <t>SC, UT-S, UT-M, DC, BCL</t>
  </si>
  <si>
    <t>Plastic AFR</t>
  </si>
  <si>
    <t>Plastic Waste, Plastic Waste Shredded, RDF Plastic Waste, Polythene Waste, Flexible Plastic Waste</t>
  </si>
  <si>
    <t>RDF / MSW AFR</t>
  </si>
  <si>
    <t>RDF, MSWRDF, MSWRDF Shredded</t>
  </si>
  <si>
    <t>UT-S, UT-M, DC, BCL</t>
  </si>
  <si>
    <t>Non-Hazardous Industrial AFR</t>
  </si>
  <si>
    <t>Cloth Waste, FMCG Waste, Saree Waste, Paper Waste, Process Waste (non-hazardous), Non-Hazardous Waste</t>
  </si>
  <si>
    <t>UT-V, UT-S, JK, BCL</t>
  </si>
  <si>
    <t>Hazardous Waste AFR</t>
  </si>
  <si>
    <t>Hazardous Waste, Distillation Residue, Spent Solvent, Process Residue, Waste Mix Liquid, Waste Mix Solid</t>
  </si>
  <si>
    <t>UT-V, JK, PJL I, PJL II, UT-D, BCL</t>
  </si>
  <si>
    <t>Fossil Liquid Fuel</t>
  </si>
  <si>
    <t>Carbonaceous Fuel</t>
  </si>
  <si>
    <t>Plant</t>
  </si>
  <si>
    <t>Category</t>
  </si>
  <si>
    <t>Technologies</t>
  </si>
  <si>
    <t>CPP (Fossil-based captive power)</t>
  </si>
  <si>
    <t>CPP, Captive Power Plant</t>
  </si>
  <si>
    <t>WHRS, WHRS Steam Turbine</t>
  </si>
  <si>
    <t>Ground-mounted Solar, Solar Power Plant, Floating Solar</t>
  </si>
  <si>
    <t>Boiler-Based Generation</t>
  </si>
  <si>
    <t>CPP (MW)</t>
  </si>
  <si>
    <t>WHRS (MW)</t>
  </si>
  <si>
    <t>Solar (MW)</t>
  </si>
  <si>
    <t>Boiler (MW)</t>
  </si>
  <si>
    <t>0*</t>
  </si>
  <si>
    <t>Technology</t>
  </si>
  <si>
    <t>Approx Capacity (MW)</t>
  </si>
  <si>
    <t>Boiler</t>
  </si>
  <si>
    <t>Domestic Fuel Types</t>
  </si>
  <si>
    <t>Imported Fuel Types</t>
  </si>
  <si>
    <t>Domestic Share (%)</t>
  </si>
  <si>
    <t>Imported Share (%)</t>
  </si>
  <si>
    <t>PJL-I</t>
  </si>
  <si>
    <t>PJL-II</t>
  </si>
  <si>
    <t>Country</t>
  </si>
  <si>
    <t>Plants Sourcing From Country</t>
  </si>
  <si>
    <t>SC, UT-M, UT-D</t>
  </si>
  <si>
    <t>Saudi Arabia</t>
  </si>
  <si>
    <t>UT-M, UT-D</t>
  </si>
  <si>
    <t>Oman</t>
  </si>
  <si>
    <t>UK/International Trader</t>
  </si>
  <si>
    <t>share</t>
  </si>
  <si>
    <t>Total SCM</t>
  </si>
  <si>
    <t>WHRS Cost</t>
  </si>
  <si>
    <t>EV</t>
  </si>
  <si>
    <t>EV equipment</t>
  </si>
  <si>
    <t>Cement Products</t>
  </si>
  <si>
    <t>Portland Pozzolana Cement
(Blended Cement)</t>
  </si>
  <si>
    <t>370-280Kg</t>
  </si>
  <si>
    <t>Portland Pozzolana Cement
 &amp; Waterproofing Compound/Powder</t>
  </si>
  <si>
    <t>PPC - 370-380Kg</t>
  </si>
  <si>
    <t xml:space="preserve">1. Portland Pozzolana Cement 
2. Brand 1 - JK Super PPC
3. Brand 2 - JK Super Strong
4. Brand 3 - JK Super Protect </t>
  </si>
  <si>
    <t>1. 491
2. 486
3. 574
4. 558</t>
  </si>
  <si>
    <t>2023-24</t>
  </si>
  <si>
    <t xml:space="preserve">Portland Pozzolana Cement 
</t>
  </si>
  <si>
    <t>CF</t>
  </si>
  <si>
    <t>SCM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</si>
</sst>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trike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center"/>
    </xf>
    <xf numFmtId="2" fontId="0" fillId="0" borderId="6" xfId="0" applyNumberForma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 wrapText="1"/>
    </xf>
    <xf numFmtId="0" fontId="3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9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left" vertical="top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13" xfId="0" applyFont="1" applyBorder="1" applyAlignment="1">
      <alignment horizontal="center" vertical="top"/>
    </xf>
    <xf numFmtId="2" fontId="0" fillId="0" borderId="0" xfId="0" applyNumberFormat="1"/>
    <xf numFmtId="0" fontId="6" fillId="0" borderId="0" xfId="0" applyFont="1" applyAlignment="1">
      <alignment horizontal="center" vertical="center" wrapText="1"/>
    </xf>
    <xf numFmtId="0" fontId="0" fillId="3" borderId="0" xfId="0" applyFill="1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" fillId="3" borderId="4" xfId="0" applyFont="1" applyFill="1" applyBorder="1" applyAlignment="1">
      <alignment horizontal="center" vertical="top"/>
    </xf>
    <xf numFmtId="0" fontId="0" fillId="0" borderId="15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7" xfId="0" applyBorder="1" applyAlignment="1">
      <alignment vertical="center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0" fillId="0" borderId="15" xfId="0" applyBorder="1" applyAlignment="1">
      <alignment horizontal="right" vertical="center" wrapText="1"/>
    </xf>
    <xf numFmtId="0" fontId="0" fillId="0" borderId="17" xfId="0" applyBorder="1" applyAlignment="1">
      <alignment horizontal="right" vertical="center" wrapText="1"/>
    </xf>
    <xf numFmtId="0" fontId="0" fillId="0" borderId="18" xfId="0" applyBorder="1" applyAlignment="1">
      <alignment horizontal="righ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6" fillId="0" borderId="23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right" vertical="center" wrapText="1"/>
    </xf>
    <xf numFmtId="0" fontId="6" fillId="0" borderId="24" xfId="0" applyFont="1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3" borderId="28" xfId="0" applyFont="1" applyFill="1" applyBorder="1" applyAlignment="1">
      <alignment horizontal="center" vertical="top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29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0" fillId="3" borderId="0" xfId="0" applyNumberFormat="1" applyFill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Font="1" applyAlignment="1">
      <alignment horizontal="center" vertical="center" wrapText="1"/>
    </xf>
    <xf numFmtId="0" fontId="0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Annual electricity consumption (MWh) by major sections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285395971014382"/>
          <c:y val="0.26193450156381143"/>
          <c:w val="0.82063156456284325"/>
          <c:h val="0.59089132032453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Plant_Master!$E$1</c:f>
              <c:strCache>
                <c:ptCount val="1"/>
                <c:pt idx="0">
                  <c:v>Electricity Consumption in Clinker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Plant_Master!$C$2:$C$13</c:f>
              <c:strCache>
                <c:ptCount val="12"/>
                <c:pt idx="0">
                  <c:v>SC</c:v>
                </c:pt>
                <c:pt idx="1">
                  <c:v>UT-V</c:v>
                </c:pt>
                <c:pt idx="2">
                  <c:v>UT-S</c:v>
                </c:pt>
                <c:pt idx="3">
                  <c:v>JK</c:v>
                </c:pt>
                <c:pt idx="4">
                  <c:v>PJL I</c:v>
                </c:pt>
                <c:pt idx="5">
                  <c:v>PJL II</c:v>
                </c:pt>
                <c:pt idx="6">
                  <c:v>UT-B</c:v>
                </c:pt>
                <c:pt idx="7">
                  <c:v>UT-M</c:v>
                </c:pt>
                <c:pt idx="8">
                  <c:v>UT-D</c:v>
                </c:pt>
                <c:pt idx="9">
                  <c:v>DC</c:v>
                </c:pt>
                <c:pt idx="10">
                  <c:v>ACC</c:v>
                </c:pt>
                <c:pt idx="11">
                  <c:v>BCL</c:v>
                </c:pt>
              </c:strCache>
            </c:strRef>
          </c:cat>
          <c:val>
            <c:numRef>
              <c:f>Plant_Master!$E$2:$E$13</c:f>
              <c:numCache>
                <c:formatCode>General</c:formatCode>
                <c:ptCount val="12"/>
                <c:pt idx="0">
                  <c:v>34540.381000000001</c:v>
                </c:pt>
                <c:pt idx="1">
                  <c:v>50192.628333333334</c:v>
                </c:pt>
                <c:pt idx="2">
                  <c:v>80133.219295000003</c:v>
                </c:pt>
                <c:pt idx="3">
                  <c:v>129460.829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174654.37</c:v>
                </c:pt>
                <c:pt idx="8">
                  <c:v>117117.47</c:v>
                </c:pt>
                <c:pt idx="9">
                  <c:v>175202.7</c:v>
                </c:pt>
                <c:pt idx="10">
                  <c:v>0</c:v>
                </c:pt>
                <c:pt idx="11">
                  <c:v>258405.9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B-42CB-8D9E-78F7E1CAFEC8}"/>
            </c:ext>
          </c:extLst>
        </c:ser>
        <c:ser>
          <c:idx val="1"/>
          <c:order val="1"/>
          <c:tx>
            <c:strRef>
              <c:f>Plant_Master!$F$1</c:f>
              <c:strCache>
                <c:ptCount val="1"/>
                <c:pt idx="0">
                  <c:v>Electricity Consumption in Grinding Lines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Plant_Master!$C$2:$C$13</c:f>
              <c:strCache>
                <c:ptCount val="12"/>
                <c:pt idx="0">
                  <c:v>SC</c:v>
                </c:pt>
                <c:pt idx="1">
                  <c:v>UT-V</c:v>
                </c:pt>
                <c:pt idx="2">
                  <c:v>UT-S</c:v>
                </c:pt>
                <c:pt idx="3">
                  <c:v>JK</c:v>
                </c:pt>
                <c:pt idx="4">
                  <c:v>PJL I</c:v>
                </c:pt>
                <c:pt idx="5">
                  <c:v>PJL II</c:v>
                </c:pt>
                <c:pt idx="6">
                  <c:v>UT-B</c:v>
                </c:pt>
                <c:pt idx="7">
                  <c:v>UT-M</c:v>
                </c:pt>
                <c:pt idx="8">
                  <c:v>UT-D</c:v>
                </c:pt>
                <c:pt idx="9">
                  <c:v>DC</c:v>
                </c:pt>
                <c:pt idx="10">
                  <c:v>ACC</c:v>
                </c:pt>
                <c:pt idx="11">
                  <c:v>BCL</c:v>
                </c:pt>
              </c:strCache>
            </c:strRef>
          </c:cat>
          <c:val>
            <c:numRef>
              <c:f>Plant_Master!$F$2:$F$13</c:f>
              <c:numCache>
                <c:formatCode>General</c:formatCode>
                <c:ptCount val="12"/>
                <c:pt idx="0">
                  <c:v>0</c:v>
                </c:pt>
                <c:pt idx="1">
                  <c:v>24206.793999999998</c:v>
                </c:pt>
                <c:pt idx="2">
                  <c:v>25446.751795</c:v>
                </c:pt>
                <c:pt idx="3">
                  <c:v>57714.027000000002</c:v>
                </c:pt>
                <c:pt idx="4">
                  <c:v>0</c:v>
                </c:pt>
                <c:pt idx="5">
                  <c:v>0</c:v>
                </c:pt>
                <c:pt idx="6">
                  <c:v>67986</c:v>
                </c:pt>
                <c:pt idx="7">
                  <c:v>97660.3</c:v>
                </c:pt>
                <c:pt idx="8">
                  <c:v>63631.694999999992</c:v>
                </c:pt>
                <c:pt idx="9">
                  <c:v>0</c:v>
                </c:pt>
                <c:pt idx="10">
                  <c:v>0</c:v>
                </c:pt>
                <c:pt idx="11">
                  <c:v>71769.87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B-42CB-8D9E-78F7E1CAFEC8}"/>
            </c:ext>
          </c:extLst>
        </c:ser>
        <c:ser>
          <c:idx val="2"/>
          <c:order val="2"/>
          <c:tx>
            <c:strRef>
              <c:f>Plant_Master!$G$1</c:f>
              <c:strCache>
                <c:ptCount val="1"/>
                <c:pt idx="0">
                  <c:v>Electricity Consumption in Auxiliaries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Plant_Master!$C$2:$C$13</c:f>
              <c:strCache>
                <c:ptCount val="12"/>
                <c:pt idx="0">
                  <c:v>SC</c:v>
                </c:pt>
                <c:pt idx="1">
                  <c:v>UT-V</c:v>
                </c:pt>
                <c:pt idx="2">
                  <c:v>UT-S</c:v>
                </c:pt>
                <c:pt idx="3">
                  <c:v>JK</c:v>
                </c:pt>
                <c:pt idx="4">
                  <c:v>PJL I</c:v>
                </c:pt>
                <c:pt idx="5">
                  <c:v>PJL II</c:v>
                </c:pt>
                <c:pt idx="6">
                  <c:v>UT-B</c:v>
                </c:pt>
                <c:pt idx="7">
                  <c:v>UT-M</c:v>
                </c:pt>
                <c:pt idx="8">
                  <c:v>UT-D</c:v>
                </c:pt>
                <c:pt idx="9">
                  <c:v>DC</c:v>
                </c:pt>
                <c:pt idx="10">
                  <c:v>ACC</c:v>
                </c:pt>
                <c:pt idx="11">
                  <c:v>BCL</c:v>
                </c:pt>
              </c:strCache>
            </c:strRef>
          </c:cat>
          <c:val>
            <c:numRef>
              <c:f>Plant_Master!$G$2:$G$13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11928.15</c:v>
                </c:pt>
                <c:pt idx="8">
                  <c:v>0</c:v>
                </c:pt>
                <c:pt idx="9">
                  <c:v>5971.2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CB-42CB-8D9E-78F7E1CAFEC8}"/>
            </c:ext>
          </c:extLst>
        </c:ser>
        <c:ser>
          <c:idx val="3"/>
          <c:order val="3"/>
          <c:tx>
            <c:strRef>
              <c:f>Plant_Master!$H$1</c:f>
              <c:strCache>
                <c:ptCount val="1"/>
                <c:pt idx="0">
                  <c:v>Electricity Consumption in Offices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Plant_Master!$C$2:$C$13</c:f>
              <c:strCache>
                <c:ptCount val="12"/>
                <c:pt idx="0">
                  <c:v>SC</c:v>
                </c:pt>
                <c:pt idx="1">
                  <c:v>UT-V</c:v>
                </c:pt>
                <c:pt idx="2">
                  <c:v>UT-S</c:v>
                </c:pt>
                <c:pt idx="3">
                  <c:v>JK</c:v>
                </c:pt>
                <c:pt idx="4">
                  <c:v>PJL I</c:v>
                </c:pt>
                <c:pt idx="5">
                  <c:v>PJL II</c:v>
                </c:pt>
                <c:pt idx="6">
                  <c:v>UT-B</c:v>
                </c:pt>
                <c:pt idx="7">
                  <c:v>UT-M</c:v>
                </c:pt>
                <c:pt idx="8">
                  <c:v>UT-D</c:v>
                </c:pt>
                <c:pt idx="9">
                  <c:v>DC</c:v>
                </c:pt>
                <c:pt idx="10">
                  <c:v>ACC</c:v>
                </c:pt>
                <c:pt idx="11">
                  <c:v>BCL</c:v>
                </c:pt>
              </c:strCache>
            </c:strRef>
          </c:cat>
          <c:val>
            <c:numRef>
              <c:f>Plant_Master!$H$2:$H$13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15954.27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27224.9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CB-42CB-8D9E-78F7E1CAFEC8}"/>
            </c:ext>
          </c:extLst>
        </c:ser>
        <c:ser>
          <c:idx val="4"/>
          <c:order val="4"/>
          <c:tx>
            <c:strRef>
              <c:f>Plant_Master!$I$1</c:f>
              <c:strCache>
                <c:ptCount val="1"/>
                <c:pt idx="0">
                  <c:v>Electricity Consumption in Others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Plant_Master!$C$2:$C$13</c:f>
              <c:strCache>
                <c:ptCount val="12"/>
                <c:pt idx="0">
                  <c:v>SC</c:v>
                </c:pt>
                <c:pt idx="1">
                  <c:v>UT-V</c:v>
                </c:pt>
                <c:pt idx="2">
                  <c:v>UT-S</c:v>
                </c:pt>
                <c:pt idx="3">
                  <c:v>JK</c:v>
                </c:pt>
                <c:pt idx="4">
                  <c:v>PJL I</c:v>
                </c:pt>
                <c:pt idx="5">
                  <c:v>PJL II</c:v>
                </c:pt>
                <c:pt idx="6">
                  <c:v>UT-B</c:v>
                </c:pt>
                <c:pt idx="7">
                  <c:v>UT-M</c:v>
                </c:pt>
                <c:pt idx="8">
                  <c:v>UT-D</c:v>
                </c:pt>
                <c:pt idx="9">
                  <c:v>DC</c:v>
                </c:pt>
                <c:pt idx="10">
                  <c:v>ACC</c:v>
                </c:pt>
                <c:pt idx="11">
                  <c:v>BCL</c:v>
                </c:pt>
              </c:strCache>
            </c:strRef>
          </c:cat>
          <c:val>
            <c:numRef>
              <c:f>Plant_Master!$I$2:$I$13</c:f>
              <c:numCache>
                <c:formatCode>General</c:formatCode>
                <c:ptCount val="12"/>
                <c:pt idx="0">
                  <c:v>7707.7820000000002</c:v>
                </c:pt>
                <c:pt idx="1">
                  <c:v>18589.8</c:v>
                </c:pt>
                <c:pt idx="2">
                  <c:v>10246.66368</c:v>
                </c:pt>
                <c:pt idx="3">
                  <c:v>5472.1434900000004</c:v>
                </c:pt>
                <c:pt idx="4">
                  <c:v>171089</c:v>
                </c:pt>
                <c:pt idx="5">
                  <c:v>272485</c:v>
                </c:pt>
                <c:pt idx="6">
                  <c:v>56421</c:v>
                </c:pt>
                <c:pt idx="7">
                  <c:v>0</c:v>
                </c:pt>
                <c:pt idx="8">
                  <c:v>12093.824499999999</c:v>
                </c:pt>
                <c:pt idx="9">
                  <c:v>1478.02</c:v>
                </c:pt>
                <c:pt idx="10">
                  <c:v>781.1739</c:v>
                </c:pt>
                <c:pt idx="11">
                  <c:v>357400.7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CB-42CB-8D9E-78F7E1CAF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2872960"/>
        <c:axId val="2102901280"/>
      </c:barChart>
      <c:catAx>
        <c:axId val="2102872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Plants Abbreviation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901280"/>
        <c:crosses val="autoZero"/>
        <c:auto val="1"/>
        <c:lblAlgn val="ctr"/>
        <c:lblOffset val="100"/>
        <c:noMultiLvlLbl val="0"/>
      </c:catAx>
      <c:valAx>
        <c:axId val="210290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electricity consumption avg.  (MWh) </a:t>
                </a:r>
                <a:endParaRPr lang="en-IN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87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3.8780030443249153E-2"/>
          <c:y val="0.10636188350544307"/>
          <c:w val="0.93449197353487123"/>
          <c:h val="0.1151742428354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Plant_Master!$D$1</c:f>
              <c:strCache>
                <c:ptCount val="1"/>
                <c:pt idx="0">
                  <c:v>Kiln_Temp_avg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Plant_Master!$C$2:$C$13</c:f>
              <c:strCache>
                <c:ptCount val="12"/>
                <c:pt idx="0">
                  <c:v>SC</c:v>
                </c:pt>
                <c:pt idx="1">
                  <c:v>UT-V</c:v>
                </c:pt>
                <c:pt idx="2">
                  <c:v>UT-S</c:v>
                </c:pt>
                <c:pt idx="3">
                  <c:v>JK</c:v>
                </c:pt>
                <c:pt idx="4">
                  <c:v>PJL I</c:v>
                </c:pt>
                <c:pt idx="5">
                  <c:v>PJL II</c:v>
                </c:pt>
                <c:pt idx="6">
                  <c:v>UT-B</c:v>
                </c:pt>
                <c:pt idx="7">
                  <c:v>UT-M</c:v>
                </c:pt>
                <c:pt idx="8">
                  <c:v>UT-D</c:v>
                </c:pt>
                <c:pt idx="9">
                  <c:v>DC</c:v>
                </c:pt>
                <c:pt idx="10">
                  <c:v>ACC</c:v>
                </c:pt>
                <c:pt idx="11">
                  <c:v>BCL</c:v>
                </c:pt>
              </c:strCache>
            </c:strRef>
          </c:cat>
          <c:val>
            <c:numRef>
              <c:f>Plant_Master!$D$2:$D$13</c:f>
              <c:numCache>
                <c:formatCode>General</c:formatCode>
                <c:ptCount val="12"/>
                <c:pt idx="0">
                  <c:v>1200</c:v>
                </c:pt>
                <c:pt idx="1">
                  <c:v>1250</c:v>
                </c:pt>
                <c:pt idx="2">
                  <c:v>1225</c:v>
                </c:pt>
                <c:pt idx="3">
                  <c:v>1450</c:v>
                </c:pt>
                <c:pt idx="4">
                  <c:v>0</c:v>
                </c:pt>
                <c:pt idx="5">
                  <c:v>1450</c:v>
                </c:pt>
                <c:pt idx="6">
                  <c:v>875</c:v>
                </c:pt>
                <c:pt idx="7">
                  <c:v>1200</c:v>
                </c:pt>
                <c:pt idx="8">
                  <c:v>1325</c:v>
                </c:pt>
                <c:pt idx="9">
                  <c:v>1100</c:v>
                </c:pt>
                <c:pt idx="10">
                  <c:v>1450</c:v>
                </c:pt>
                <c:pt idx="11">
                  <c:v>1125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6-4C12-8ACE-FD0866565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807904"/>
        <c:axId val="1510813184"/>
      </c:lineChart>
      <c:catAx>
        <c:axId val="151080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813184"/>
        <c:crosses val="autoZero"/>
        <c:auto val="1"/>
        <c:lblAlgn val="ctr"/>
        <c:lblOffset val="100"/>
        <c:noMultiLvlLbl val="0"/>
      </c:catAx>
      <c:valAx>
        <c:axId val="151081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80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Plant_Master!$P$2:$Q$27</c:f>
              <c:multiLvlStrCache>
                <c:ptCount val="26"/>
                <c:lvl>
                  <c:pt idx="0">
                    <c:v>Gross CO2 Emission from raw materials (Calcination)</c:v>
                  </c:pt>
                  <c:pt idx="1">
                    <c:v>AF and Biomass (Kiln)</c:v>
                  </c:pt>
                  <c:pt idx="2">
                    <c:v>internal transport and equipment</c:v>
                  </c:pt>
                  <c:pt idx="3">
                    <c:v>other source</c:v>
                  </c:pt>
                  <c:pt idx="4">
                    <c:v> Scope 2 absolute CO2 emission (purchased energy)</c:v>
                  </c:pt>
                  <c:pt idx="5">
                    <c:v>From Process (Scope 1)</c:v>
                  </c:pt>
                  <c:pt idx="6">
                    <c:v>Electricity (Scope 2) </c:v>
                  </c:pt>
                  <c:pt idx="7">
                    <c:v>Total Co2 emission sources</c:v>
                  </c:pt>
                  <c:pt idx="8">
                    <c:v>Process (Calcination)</c:v>
                  </c:pt>
                  <c:pt idx="9">
                    <c:v>Combustion (fuel)</c:v>
                  </c:pt>
                  <c:pt idx="10">
                    <c:v>Electricity (scope 2)</c:v>
                  </c:pt>
                  <c:pt idx="11">
                    <c:v>Others</c:v>
                  </c:pt>
                  <c:pt idx="12">
                    <c:v>Total </c:v>
                  </c:pt>
                  <c:pt idx="13">
                    <c:v>-</c:v>
                  </c:pt>
                  <c:pt idx="14">
                    <c:v>-</c:v>
                  </c:pt>
                  <c:pt idx="15">
                    <c:v>Total Co2 Emission</c:v>
                  </c:pt>
                  <c:pt idx="16">
                    <c:v>Total Co2 Emission</c:v>
                  </c:pt>
                  <c:pt idx="17">
                    <c:v>Total Co2 Emission</c:v>
                  </c:pt>
                  <c:pt idx="18">
                    <c:v>Scope 1 (Fuel)</c:v>
                  </c:pt>
                  <c:pt idx="19">
                    <c:v>Scope 2 (Power)</c:v>
                  </c:pt>
                  <c:pt idx="20">
                    <c:v>Scope 3 (Logistics)</c:v>
                  </c:pt>
                  <c:pt idx="21">
                    <c:v>Process (Calcination)</c:v>
                  </c:pt>
                  <c:pt idx="22">
                    <c:v>Combustion (fuel)</c:v>
                  </c:pt>
                  <c:pt idx="23">
                    <c:v>Electricity</c:v>
                  </c:pt>
                  <c:pt idx="24">
                    <c:v>Fuel (Scope 1)</c:v>
                  </c:pt>
                  <c:pt idx="25">
                    <c:v>Electricity (Scope 2)</c:v>
                  </c:pt>
                </c:lvl>
                <c:lvl>
                  <c:pt idx="0">
                    <c:v>SC</c:v>
                  </c:pt>
                  <c:pt idx="1">
                    <c:v>SC</c:v>
                  </c:pt>
                  <c:pt idx="2">
                    <c:v>SC</c:v>
                  </c:pt>
                  <c:pt idx="3">
                    <c:v>SC</c:v>
                  </c:pt>
                  <c:pt idx="4">
                    <c:v>SC</c:v>
                  </c:pt>
                  <c:pt idx="5">
                    <c:v>UT-V</c:v>
                  </c:pt>
                  <c:pt idx="6">
                    <c:v>UT-V</c:v>
                  </c:pt>
                  <c:pt idx="7">
                    <c:v>UT-S</c:v>
                  </c:pt>
                  <c:pt idx="8">
                    <c:v>JK</c:v>
                  </c:pt>
                  <c:pt idx="9">
                    <c:v>JK</c:v>
                  </c:pt>
                  <c:pt idx="10">
                    <c:v>JK</c:v>
                  </c:pt>
                  <c:pt idx="11">
                    <c:v>JK</c:v>
                  </c:pt>
                  <c:pt idx="12">
                    <c:v>JK</c:v>
                  </c:pt>
                  <c:pt idx="13">
                    <c:v>PJL I</c:v>
                  </c:pt>
                  <c:pt idx="14">
                    <c:v>PJL II</c:v>
                  </c:pt>
                  <c:pt idx="15">
                    <c:v>UT-B</c:v>
                  </c:pt>
                  <c:pt idx="16">
                    <c:v>UT-M</c:v>
                  </c:pt>
                  <c:pt idx="17">
                    <c:v>UT-D</c:v>
                  </c:pt>
                  <c:pt idx="18">
                    <c:v>DC</c:v>
                  </c:pt>
                  <c:pt idx="19">
                    <c:v>DC</c:v>
                  </c:pt>
                  <c:pt idx="20">
                    <c:v>DC</c:v>
                  </c:pt>
                  <c:pt idx="21">
                    <c:v>ACC</c:v>
                  </c:pt>
                  <c:pt idx="22">
                    <c:v>ACC</c:v>
                  </c:pt>
                  <c:pt idx="23">
                    <c:v>ACC</c:v>
                  </c:pt>
                  <c:pt idx="24">
                    <c:v>BCL</c:v>
                  </c:pt>
                  <c:pt idx="25">
                    <c:v>BCL</c:v>
                  </c:pt>
                </c:lvl>
              </c:multiLvlStrCache>
            </c:multiLvlStrRef>
          </c:cat>
          <c:val>
            <c:numRef>
              <c:f>Plant_Master!$R$2:$R$27</c:f>
              <c:numCache>
                <c:formatCode>General</c:formatCode>
                <c:ptCount val="26"/>
                <c:pt idx="0">
                  <c:v>354532</c:v>
                </c:pt>
                <c:pt idx="1">
                  <c:v>196820</c:v>
                </c:pt>
                <c:pt idx="2">
                  <c:v>136</c:v>
                </c:pt>
                <c:pt idx="3">
                  <c:v>111.03</c:v>
                </c:pt>
                <c:pt idx="4">
                  <c:v>30759</c:v>
                </c:pt>
                <c:pt idx="5">
                  <c:v>592</c:v>
                </c:pt>
                <c:pt idx="6">
                  <c:v>25</c:v>
                </c:pt>
                <c:pt idx="7">
                  <c:v>0</c:v>
                </c:pt>
                <c:pt idx="8" formatCode="0.00">
                  <c:v>1501038.527</c:v>
                </c:pt>
                <c:pt idx="9">
                  <c:v>776652.95120000001</c:v>
                </c:pt>
                <c:pt idx="10">
                  <c:v>8873.1110599999993</c:v>
                </c:pt>
                <c:pt idx="11">
                  <c:v>78606</c:v>
                </c:pt>
                <c:pt idx="12">
                  <c:v>2365168.1359999999</c:v>
                </c:pt>
                <c:pt idx="13">
                  <c:v>0</c:v>
                </c:pt>
                <c:pt idx="14">
                  <c:v>0</c:v>
                </c:pt>
                <c:pt idx="15" formatCode="0.00">
                  <c:v>671.72</c:v>
                </c:pt>
                <c:pt idx="16" formatCode="0.00">
                  <c:v>715</c:v>
                </c:pt>
                <c:pt idx="17" formatCode="0.00">
                  <c:v>636</c:v>
                </c:pt>
                <c:pt idx="18" formatCode="0.00">
                  <c:v>2209448.443</c:v>
                </c:pt>
                <c:pt idx="19">
                  <c:v>74667</c:v>
                </c:pt>
                <c:pt idx="20">
                  <c:v>0</c:v>
                </c:pt>
                <c:pt idx="21" formatCode="0.00">
                  <c:v>1431642</c:v>
                </c:pt>
                <c:pt idx="22">
                  <c:v>751297</c:v>
                </c:pt>
                <c:pt idx="23">
                  <c:v>62222</c:v>
                </c:pt>
                <c:pt idx="24" formatCode="0.00">
                  <c:v>2814719.44</c:v>
                </c:pt>
                <c:pt idx="25">
                  <c:v>98665.13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5-4488-8496-D83B34059B6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Plant_Master!$P$2:$Q$27</c:f>
              <c:multiLvlStrCache>
                <c:ptCount val="26"/>
                <c:lvl>
                  <c:pt idx="0">
                    <c:v>Gross CO2 Emission from raw materials (Calcination)</c:v>
                  </c:pt>
                  <c:pt idx="1">
                    <c:v>AF and Biomass (Kiln)</c:v>
                  </c:pt>
                  <c:pt idx="2">
                    <c:v>internal transport and equipment</c:v>
                  </c:pt>
                  <c:pt idx="3">
                    <c:v>other source</c:v>
                  </c:pt>
                  <c:pt idx="4">
                    <c:v> Scope 2 absolute CO2 emission (purchased energy)</c:v>
                  </c:pt>
                  <c:pt idx="5">
                    <c:v>From Process (Scope 1)</c:v>
                  </c:pt>
                  <c:pt idx="6">
                    <c:v>Electricity (Scope 2) </c:v>
                  </c:pt>
                  <c:pt idx="7">
                    <c:v>Total Co2 emission sources</c:v>
                  </c:pt>
                  <c:pt idx="8">
                    <c:v>Process (Calcination)</c:v>
                  </c:pt>
                  <c:pt idx="9">
                    <c:v>Combustion (fuel)</c:v>
                  </c:pt>
                  <c:pt idx="10">
                    <c:v>Electricity (scope 2)</c:v>
                  </c:pt>
                  <c:pt idx="11">
                    <c:v>Others</c:v>
                  </c:pt>
                  <c:pt idx="12">
                    <c:v>Total </c:v>
                  </c:pt>
                  <c:pt idx="13">
                    <c:v>-</c:v>
                  </c:pt>
                  <c:pt idx="14">
                    <c:v>-</c:v>
                  </c:pt>
                  <c:pt idx="15">
                    <c:v>Total Co2 Emission</c:v>
                  </c:pt>
                  <c:pt idx="16">
                    <c:v>Total Co2 Emission</c:v>
                  </c:pt>
                  <c:pt idx="17">
                    <c:v>Total Co2 Emission</c:v>
                  </c:pt>
                  <c:pt idx="18">
                    <c:v>Scope 1 (Fuel)</c:v>
                  </c:pt>
                  <c:pt idx="19">
                    <c:v>Scope 2 (Power)</c:v>
                  </c:pt>
                  <c:pt idx="20">
                    <c:v>Scope 3 (Logistics)</c:v>
                  </c:pt>
                  <c:pt idx="21">
                    <c:v>Process (Calcination)</c:v>
                  </c:pt>
                  <c:pt idx="22">
                    <c:v>Combustion (fuel)</c:v>
                  </c:pt>
                  <c:pt idx="23">
                    <c:v>Electricity</c:v>
                  </c:pt>
                  <c:pt idx="24">
                    <c:v>Fuel (Scope 1)</c:v>
                  </c:pt>
                  <c:pt idx="25">
                    <c:v>Electricity (Scope 2)</c:v>
                  </c:pt>
                </c:lvl>
                <c:lvl>
                  <c:pt idx="0">
                    <c:v>SC</c:v>
                  </c:pt>
                  <c:pt idx="1">
                    <c:v>SC</c:v>
                  </c:pt>
                  <c:pt idx="2">
                    <c:v>SC</c:v>
                  </c:pt>
                  <c:pt idx="3">
                    <c:v>SC</c:v>
                  </c:pt>
                  <c:pt idx="4">
                    <c:v>SC</c:v>
                  </c:pt>
                  <c:pt idx="5">
                    <c:v>UT-V</c:v>
                  </c:pt>
                  <c:pt idx="6">
                    <c:v>UT-V</c:v>
                  </c:pt>
                  <c:pt idx="7">
                    <c:v>UT-S</c:v>
                  </c:pt>
                  <c:pt idx="8">
                    <c:v>JK</c:v>
                  </c:pt>
                  <c:pt idx="9">
                    <c:v>JK</c:v>
                  </c:pt>
                  <c:pt idx="10">
                    <c:v>JK</c:v>
                  </c:pt>
                  <c:pt idx="11">
                    <c:v>JK</c:v>
                  </c:pt>
                  <c:pt idx="12">
                    <c:v>JK</c:v>
                  </c:pt>
                  <c:pt idx="13">
                    <c:v>PJL I</c:v>
                  </c:pt>
                  <c:pt idx="14">
                    <c:v>PJL II</c:v>
                  </c:pt>
                  <c:pt idx="15">
                    <c:v>UT-B</c:v>
                  </c:pt>
                  <c:pt idx="16">
                    <c:v>UT-M</c:v>
                  </c:pt>
                  <c:pt idx="17">
                    <c:v>UT-D</c:v>
                  </c:pt>
                  <c:pt idx="18">
                    <c:v>DC</c:v>
                  </c:pt>
                  <c:pt idx="19">
                    <c:v>DC</c:v>
                  </c:pt>
                  <c:pt idx="20">
                    <c:v>DC</c:v>
                  </c:pt>
                  <c:pt idx="21">
                    <c:v>ACC</c:v>
                  </c:pt>
                  <c:pt idx="22">
                    <c:v>ACC</c:v>
                  </c:pt>
                  <c:pt idx="23">
                    <c:v>ACC</c:v>
                  </c:pt>
                  <c:pt idx="24">
                    <c:v>BCL</c:v>
                  </c:pt>
                  <c:pt idx="25">
                    <c:v>BCL</c:v>
                  </c:pt>
                </c:lvl>
              </c:multiLvlStrCache>
            </c:multiLvlStrRef>
          </c:cat>
          <c:val>
            <c:numRef>
              <c:f>Plant_Master!$P$1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5-4488-8496-D83B34059B6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Plant_Master!$P$2:$Q$27</c:f>
              <c:multiLvlStrCache>
                <c:ptCount val="26"/>
                <c:lvl>
                  <c:pt idx="0">
                    <c:v>Gross CO2 Emission from raw materials (Calcination)</c:v>
                  </c:pt>
                  <c:pt idx="1">
                    <c:v>AF and Biomass (Kiln)</c:v>
                  </c:pt>
                  <c:pt idx="2">
                    <c:v>internal transport and equipment</c:v>
                  </c:pt>
                  <c:pt idx="3">
                    <c:v>other source</c:v>
                  </c:pt>
                  <c:pt idx="4">
                    <c:v> Scope 2 absolute CO2 emission (purchased energy)</c:v>
                  </c:pt>
                  <c:pt idx="5">
                    <c:v>From Process (Scope 1)</c:v>
                  </c:pt>
                  <c:pt idx="6">
                    <c:v>Electricity (Scope 2) </c:v>
                  </c:pt>
                  <c:pt idx="7">
                    <c:v>Total Co2 emission sources</c:v>
                  </c:pt>
                  <c:pt idx="8">
                    <c:v>Process (Calcination)</c:v>
                  </c:pt>
                  <c:pt idx="9">
                    <c:v>Combustion (fuel)</c:v>
                  </c:pt>
                  <c:pt idx="10">
                    <c:v>Electricity (scope 2)</c:v>
                  </c:pt>
                  <c:pt idx="11">
                    <c:v>Others</c:v>
                  </c:pt>
                  <c:pt idx="12">
                    <c:v>Total </c:v>
                  </c:pt>
                  <c:pt idx="13">
                    <c:v>-</c:v>
                  </c:pt>
                  <c:pt idx="14">
                    <c:v>-</c:v>
                  </c:pt>
                  <c:pt idx="15">
                    <c:v>Total Co2 Emission</c:v>
                  </c:pt>
                  <c:pt idx="16">
                    <c:v>Total Co2 Emission</c:v>
                  </c:pt>
                  <c:pt idx="17">
                    <c:v>Total Co2 Emission</c:v>
                  </c:pt>
                  <c:pt idx="18">
                    <c:v>Scope 1 (Fuel)</c:v>
                  </c:pt>
                  <c:pt idx="19">
                    <c:v>Scope 2 (Power)</c:v>
                  </c:pt>
                  <c:pt idx="20">
                    <c:v>Scope 3 (Logistics)</c:v>
                  </c:pt>
                  <c:pt idx="21">
                    <c:v>Process (Calcination)</c:v>
                  </c:pt>
                  <c:pt idx="22">
                    <c:v>Combustion (fuel)</c:v>
                  </c:pt>
                  <c:pt idx="23">
                    <c:v>Electricity</c:v>
                  </c:pt>
                  <c:pt idx="24">
                    <c:v>Fuel (Scope 1)</c:v>
                  </c:pt>
                  <c:pt idx="25">
                    <c:v>Electricity (Scope 2)</c:v>
                  </c:pt>
                </c:lvl>
                <c:lvl>
                  <c:pt idx="0">
                    <c:v>SC</c:v>
                  </c:pt>
                  <c:pt idx="1">
                    <c:v>SC</c:v>
                  </c:pt>
                  <c:pt idx="2">
                    <c:v>SC</c:v>
                  </c:pt>
                  <c:pt idx="3">
                    <c:v>SC</c:v>
                  </c:pt>
                  <c:pt idx="4">
                    <c:v>SC</c:v>
                  </c:pt>
                  <c:pt idx="5">
                    <c:v>UT-V</c:v>
                  </c:pt>
                  <c:pt idx="6">
                    <c:v>UT-V</c:v>
                  </c:pt>
                  <c:pt idx="7">
                    <c:v>UT-S</c:v>
                  </c:pt>
                  <c:pt idx="8">
                    <c:v>JK</c:v>
                  </c:pt>
                  <c:pt idx="9">
                    <c:v>JK</c:v>
                  </c:pt>
                  <c:pt idx="10">
                    <c:v>JK</c:v>
                  </c:pt>
                  <c:pt idx="11">
                    <c:v>JK</c:v>
                  </c:pt>
                  <c:pt idx="12">
                    <c:v>JK</c:v>
                  </c:pt>
                  <c:pt idx="13">
                    <c:v>PJL I</c:v>
                  </c:pt>
                  <c:pt idx="14">
                    <c:v>PJL II</c:v>
                  </c:pt>
                  <c:pt idx="15">
                    <c:v>UT-B</c:v>
                  </c:pt>
                  <c:pt idx="16">
                    <c:v>UT-M</c:v>
                  </c:pt>
                  <c:pt idx="17">
                    <c:v>UT-D</c:v>
                  </c:pt>
                  <c:pt idx="18">
                    <c:v>DC</c:v>
                  </c:pt>
                  <c:pt idx="19">
                    <c:v>DC</c:v>
                  </c:pt>
                  <c:pt idx="20">
                    <c:v>DC</c:v>
                  </c:pt>
                  <c:pt idx="21">
                    <c:v>ACC</c:v>
                  </c:pt>
                  <c:pt idx="22">
                    <c:v>ACC</c:v>
                  </c:pt>
                  <c:pt idx="23">
                    <c:v>ACC</c:v>
                  </c:pt>
                  <c:pt idx="24">
                    <c:v>BCL</c:v>
                  </c:pt>
                  <c:pt idx="25">
                    <c:v>BCL</c:v>
                  </c:pt>
                </c:lvl>
              </c:multiLvlStrCache>
            </c:multiLvlStrRef>
          </c:cat>
          <c:val>
            <c:numRef>
              <c:f>Plant_Master!$Q$1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F5-4488-8496-D83B34059B6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Plant_Master!$P$2:$Q$27</c:f>
              <c:multiLvlStrCache>
                <c:ptCount val="26"/>
                <c:lvl>
                  <c:pt idx="0">
                    <c:v>Gross CO2 Emission from raw materials (Calcination)</c:v>
                  </c:pt>
                  <c:pt idx="1">
                    <c:v>AF and Biomass (Kiln)</c:v>
                  </c:pt>
                  <c:pt idx="2">
                    <c:v>internal transport and equipment</c:v>
                  </c:pt>
                  <c:pt idx="3">
                    <c:v>other source</c:v>
                  </c:pt>
                  <c:pt idx="4">
                    <c:v> Scope 2 absolute CO2 emission (purchased energy)</c:v>
                  </c:pt>
                  <c:pt idx="5">
                    <c:v>From Process (Scope 1)</c:v>
                  </c:pt>
                  <c:pt idx="6">
                    <c:v>Electricity (Scope 2) </c:v>
                  </c:pt>
                  <c:pt idx="7">
                    <c:v>Total Co2 emission sources</c:v>
                  </c:pt>
                  <c:pt idx="8">
                    <c:v>Process (Calcination)</c:v>
                  </c:pt>
                  <c:pt idx="9">
                    <c:v>Combustion (fuel)</c:v>
                  </c:pt>
                  <c:pt idx="10">
                    <c:v>Electricity (scope 2)</c:v>
                  </c:pt>
                  <c:pt idx="11">
                    <c:v>Others</c:v>
                  </c:pt>
                  <c:pt idx="12">
                    <c:v>Total </c:v>
                  </c:pt>
                  <c:pt idx="13">
                    <c:v>-</c:v>
                  </c:pt>
                  <c:pt idx="14">
                    <c:v>-</c:v>
                  </c:pt>
                  <c:pt idx="15">
                    <c:v>Total Co2 Emission</c:v>
                  </c:pt>
                  <c:pt idx="16">
                    <c:v>Total Co2 Emission</c:v>
                  </c:pt>
                  <c:pt idx="17">
                    <c:v>Total Co2 Emission</c:v>
                  </c:pt>
                  <c:pt idx="18">
                    <c:v>Scope 1 (Fuel)</c:v>
                  </c:pt>
                  <c:pt idx="19">
                    <c:v>Scope 2 (Power)</c:v>
                  </c:pt>
                  <c:pt idx="20">
                    <c:v>Scope 3 (Logistics)</c:v>
                  </c:pt>
                  <c:pt idx="21">
                    <c:v>Process (Calcination)</c:v>
                  </c:pt>
                  <c:pt idx="22">
                    <c:v>Combustion (fuel)</c:v>
                  </c:pt>
                  <c:pt idx="23">
                    <c:v>Electricity</c:v>
                  </c:pt>
                  <c:pt idx="24">
                    <c:v>Fuel (Scope 1)</c:v>
                  </c:pt>
                  <c:pt idx="25">
                    <c:v>Electricity (Scope 2)</c:v>
                  </c:pt>
                </c:lvl>
                <c:lvl>
                  <c:pt idx="0">
                    <c:v>SC</c:v>
                  </c:pt>
                  <c:pt idx="1">
                    <c:v>SC</c:v>
                  </c:pt>
                  <c:pt idx="2">
                    <c:v>SC</c:v>
                  </c:pt>
                  <c:pt idx="3">
                    <c:v>SC</c:v>
                  </c:pt>
                  <c:pt idx="4">
                    <c:v>SC</c:v>
                  </c:pt>
                  <c:pt idx="5">
                    <c:v>UT-V</c:v>
                  </c:pt>
                  <c:pt idx="6">
                    <c:v>UT-V</c:v>
                  </c:pt>
                  <c:pt idx="7">
                    <c:v>UT-S</c:v>
                  </c:pt>
                  <c:pt idx="8">
                    <c:v>JK</c:v>
                  </c:pt>
                  <c:pt idx="9">
                    <c:v>JK</c:v>
                  </c:pt>
                  <c:pt idx="10">
                    <c:v>JK</c:v>
                  </c:pt>
                  <c:pt idx="11">
                    <c:v>JK</c:v>
                  </c:pt>
                  <c:pt idx="12">
                    <c:v>JK</c:v>
                  </c:pt>
                  <c:pt idx="13">
                    <c:v>PJL I</c:v>
                  </c:pt>
                  <c:pt idx="14">
                    <c:v>PJL II</c:v>
                  </c:pt>
                  <c:pt idx="15">
                    <c:v>UT-B</c:v>
                  </c:pt>
                  <c:pt idx="16">
                    <c:v>UT-M</c:v>
                  </c:pt>
                  <c:pt idx="17">
                    <c:v>UT-D</c:v>
                  </c:pt>
                  <c:pt idx="18">
                    <c:v>DC</c:v>
                  </c:pt>
                  <c:pt idx="19">
                    <c:v>DC</c:v>
                  </c:pt>
                  <c:pt idx="20">
                    <c:v>DC</c:v>
                  </c:pt>
                  <c:pt idx="21">
                    <c:v>ACC</c:v>
                  </c:pt>
                  <c:pt idx="22">
                    <c:v>ACC</c:v>
                  </c:pt>
                  <c:pt idx="23">
                    <c:v>ACC</c:v>
                  </c:pt>
                  <c:pt idx="24">
                    <c:v>BCL</c:v>
                  </c:pt>
                  <c:pt idx="25">
                    <c:v>BCL</c:v>
                  </c:pt>
                </c:lvl>
              </c:multiLvlStrCache>
            </c:multiLvlStrRef>
          </c:cat>
          <c:val>
            <c:numRef>
              <c:f>Plant_Master!$R$1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F5-4488-8496-D83B34059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842944"/>
        <c:axId val="1510843424"/>
      </c:barChart>
      <c:catAx>
        <c:axId val="151084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843424"/>
        <c:crosses val="autoZero"/>
        <c:auto val="1"/>
        <c:lblAlgn val="ctr"/>
        <c:lblOffset val="100"/>
        <c:noMultiLvlLbl val="0"/>
      </c:catAx>
      <c:valAx>
        <c:axId val="15108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84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7F-4154-A1E1-62F1AEC0D5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7F-4154-A1E1-62F1AEC0D5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7F-4154-A1E1-62F1AEC0D5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17F-4154-A1E1-62F1AEC0D561}"/>
              </c:ext>
            </c:extLst>
          </c:dPt>
          <c:cat>
            <c:strRef>
              <c:f>Plant_Master!$W$12:$W$15</c:f>
              <c:strCache>
                <c:ptCount val="4"/>
                <c:pt idx="0">
                  <c:v>WHRS</c:v>
                </c:pt>
                <c:pt idx="1">
                  <c:v>Solar</c:v>
                </c:pt>
                <c:pt idx="2">
                  <c:v>AFR</c:v>
                </c:pt>
                <c:pt idx="3">
                  <c:v>EV equipment</c:v>
                </c:pt>
              </c:strCache>
            </c:strRef>
          </c:cat>
          <c:val>
            <c:numRef>
              <c:f>Plant_Master!$X$12:$X$15</c:f>
              <c:numCache>
                <c:formatCode>0.00%</c:formatCode>
                <c:ptCount val="4"/>
                <c:pt idx="0">
                  <c:v>0.83499999999999996</c:v>
                </c:pt>
                <c:pt idx="1">
                  <c:v>6.8000000000000005E-2</c:v>
                </c:pt>
                <c:pt idx="2">
                  <c:v>8.3000000000000004E-2</c:v>
                </c:pt>
                <c:pt idx="3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B-4F8F-AFC8-131E5177A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Fuel Sourced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Fuel_Data!$J$104</c:f>
              <c:strCache>
                <c:ptCount val="1"/>
                <c:pt idx="0">
                  <c:v>Domestic Share (%)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Fuel_Data!$I$105:$I$115</c:f>
              <c:strCache>
                <c:ptCount val="11"/>
                <c:pt idx="0">
                  <c:v>SC</c:v>
                </c:pt>
                <c:pt idx="1">
                  <c:v>UT-V</c:v>
                </c:pt>
                <c:pt idx="2">
                  <c:v>UT-S</c:v>
                </c:pt>
                <c:pt idx="3">
                  <c:v>JK</c:v>
                </c:pt>
                <c:pt idx="4">
                  <c:v>UT-B</c:v>
                </c:pt>
                <c:pt idx="5">
                  <c:v>UT-M</c:v>
                </c:pt>
                <c:pt idx="6">
                  <c:v>UT-D</c:v>
                </c:pt>
                <c:pt idx="7">
                  <c:v>PJL-I</c:v>
                </c:pt>
                <c:pt idx="8">
                  <c:v>PJL-II</c:v>
                </c:pt>
                <c:pt idx="9">
                  <c:v>DC</c:v>
                </c:pt>
                <c:pt idx="10">
                  <c:v>BCL</c:v>
                </c:pt>
              </c:strCache>
            </c:strRef>
          </c:cat>
          <c:val>
            <c:numRef>
              <c:f>Fuel_Data!$J$105:$J$115</c:f>
              <c:numCache>
                <c:formatCode>General</c:formatCode>
                <c:ptCount val="11"/>
                <c:pt idx="0">
                  <c:v>80</c:v>
                </c:pt>
                <c:pt idx="1">
                  <c:v>66.7</c:v>
                </c:pt>
                <c:pt idx="2">
                  <c:v>60</c:v>
                </c:pt>
                <c:pt idx="3">
                  <c:v>75</c:v>
                </c:pt>
                <c:pt idx="4">
                  <c:v>50</c:v>
                </c:pt>
                <c:pt idx="5">
                  <c:v>60</c:v>
                </c:pt>
                <c:pt idx="6">
                  <c:v>60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8-4206-87BF-0122092B1697}"/>
            </c:ext>
          </c:extLst>
        </c:ser>
        <c:ser>
          <c:idx val="1"/>
          <c:order val="1"/>
          <c:tx>
            <c:strRef>
              <c:f>Fuel_Data!$K$104</c:f>
              <c:strCache>
                <c:ptCount val="1"/>
                <c:pt idx="0">
                  <c:v>Imported Share (%)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38-4206-87BF-0122092B16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Fuel_Data!$I$105:$I$115</c:f>
              <c:strCache>
                <c:ptCount val="11"/>
                <c:pt idx="0">
                  <c:v>SC</c:v>
                </c:pt>
                <c:pt idx="1">
                  <c:v>UT-V</c:v>
                </c:pt>
                <c:pt idx="2">
                  <c:v>UT-S</c:v>
                </c:pt>
                <c:pt idx="3">
                  <c:v>JK</c:v>
                </c:pt>
                <c:pt idx="4">
                  <c:v>UT-B</c:v>
                </c:pt>
                <c:pt idx="5">
                  <c:v>UT-M</c:v>
                </c:pt>
                <c:pt idx="6">
                  <c:v>UT-D</c:v>
                </c:pt>
                <c:pt idx="7">
                  <c:v>PJL-I</c:v>
                </c:pt>
                <c:pt idx="8">
                  <c:v>PJL-II</c:v>
                </c:pt>
                <c:pt idx="9">
                  <c:v>DC</c:v>
                </c:pt>
                <c:pt idx="10">
                  <c:v>BCL</c:v>
                </c:pt>
              </c:strCache>
            </c:strRef>
          </c:cat>
          <c:val>
            <c:numRef>
              <c:f>Fuel_Data!$K$105:$K$115</c:f>
              <c:numCache>
                <c:formatCode>General</c:formatCode>
                <c:ptCount val="11"/>
                <c:pt idx="0">
                  <c:v>20</c:v>
                </c:pt>
                <c:pt idx="1">
                  <c:v>33.299999999999997</c:v>
                </c:pt>
                <c:pt idx="2">
                  <c:v>40</c:v>
                </c:pt>
                <c:pt idx="3">
                  <c:v>25</c:v>
                </c:pt>
                <c:pt idx="4">
                  <c:v>50</c:v>
                </c:pt>
                <c:pt idx="5">
                  <c:v>40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38-4206-87BF-0122092B16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9427008"/>
        <c:axId val="59427968"/>
      </c:barChart>
      <c:catAx>
        <c:axId val="5942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7968"/>
        <c:crosses val="autoZero"/>
        <c:auto val="1"/>
        <c:lblAlgn val="ctr"/>
        <c:lblOffset val="100"/>
        <c:noMultiLvlLbl val="0"/>
      </c:catAx>
      <c:valAx>
        <c:axId val="594279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942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Fuel_Data!$M$104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9E-4D20-A0D7-2DD48821B0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9E-4D20-A0D7-2DD48821B0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9E-4D20-A0D7-2DD48821B0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69E-4D20-A0D7-2DD48821B0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Fuel_Data!$L$105:$L$108</c:f>
              <c:strCache>
                <c:ptCount val="4"/>
                <c:pt idx="0">
                  <c:v>USA</c:v>
                </c:pt>
                <c:pt idx="1">
                  <c:v>Saudi Arabia</c:v>
                </c:pt>
                <c:pt idx="2">
                  <c:v>Oman</c:v>
                </c:pt>
                <c:pt idx="3">
                  <c:v>UK/International Trader</c:v>
                </c:pt>
              </c:strCache>
            </c:strRef>
          </c:cat>
          <c:val>
            <c:numRef>
              <c:f>Fuel_Data!$M$105:$M$108</c:f>
              <c:numCache>
                <c:formatCode>0.00</c:formatCode>
                <c:ptCount val="4"/>
                <c:pt idx="0">
                  <c:v>42.857142857142854</c:v>
                </c:pt>
                <c:pt idx="1">
                  <c:v>28.571428571428569</c:v>
                </c:pt>
                <c:pt idx="2">
                  <c:v>14.285714285714285</c:v>
                </c:pt>
                <c:pt idx="3">
                  <c:v>14.285714285714285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7-4A44-ACC8-CF91AA4B674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On-site</a:t>
            </a:r>
            <a:r>
              <a:rPr lang="en-US" baseline="0"/>
              <a:t> power generation capacity </a:t>
            </a:r>
            <a:r>
              <a:rPr lang="en-US"/>
              <a:t>(MW)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OS_Power_Data!$E$39</c:f>
              <c:strCache>
                <c:ptCount val="1"/>
                <c:pt idx="0">
                  <c:v>Approx Capacity (MW)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CF-4E32-B04F-AD2965B7C2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CF-4E32-B04F-AD2965B7C2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CF-4E32-B04F-AD2965B7C2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CF-4E32-B04F-AD2965B7C2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OS_Power_Data!$D$40:$D$43</c:f>
              <c:strCache>
                <c:ptCount val="4"/>
                <c:pt idx="0">
                  <c:v>CPP</c:v>
                </c:pt>
                <c:pt idx="1">
                  <c:v>WHRS</c:v>
                </c:pt>
                <c:pt idx="2">
                  <c:v>Solar</c:v>
                </c:pt>
                <c:pt idx="3">
                  <c:v>Boiler</c:v>
                </c:pt>
              </c:strCache>
            </c:strRef>
          </c:cat>
          <c:val>
            <c:numRef>
              <c:f>OS_Power_Data!$E$40:$E$43</c:f>
              <c:numCache>
                <c:formatCode>0.0</c:formatCode>
                <c:ptCount val="4"/>
                <c:pt idx="0" formatCode="General">
                  <c:v>287.39999999999998</c:v>
                </c:pt>
                <c:pt idx="1">
                  <c:v>194.48</c:v>
                </c:pt>
                <c:pt idx="2" formatCode="General">
                  <c:v>93.8</c:v>
                </c:pt>
                <c:pt idx="3" formatCode="General">
                  <c:v>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C-4005-9437-AF58E7EFCFD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'SCM VS CF'!$B$1</c:f>
              <c:strCache>
                <c:ptCount val="1"/>
                <c:pt idx="0">
                  <c:v>SCM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02-494C-A17D-5BE371EE3A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02-494C-A17D-5BE371EE3A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02-494C-A17D-5BE371EE3A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02-494C-A17D-5BE371EE3A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02-494C-A17D-5BE371EE3A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802-494C-A17D-5BE371EE3A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802-494C-A17D-5BE371EE3A2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802-494C-A17D-5BE371EE3A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802-494C-A17D-5BE371EE3A2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'SCM VS CF'!$A$2:$A$10</c:f>
              <c:strCache>
                <c:ptCount val="9"/>
                <c:pt idx="0">
                  <c:v>ACC</c:v>
                </c:pt>
                <c:pt idx="1">
                  <c:v>SC</c:v>
                </c:pt>
                <c:pt idx="2">
                  <c:v>BCL</c:v>
                </c:pt>
                <c:pt idx="3">
                  <c:v>UT-B</c:v>
                </c:pt>
                <c:pt idx="4">
                  <c:v>PJL-I</c:v>
                </c:pt>
                <c:pt idx="5">
                  <c:v>PJL-II</c:v>
                </c:pt>
                <c:pt idx="6">
                  <c:v>UT-M</c:v>
                </c:pt>
                <c:pt idx="7">
                  <c:v>UT-S</c:v>
                </c:pt>
                <c:pt idx="8">
                  <c:v>JK</c:v>
                </c:pt>
              </c:strCache>
            </c:strRef>
          </c:cat>
          <c:val>
            <c:numRef>
              <c:f>'SCM VS CF'!$B$2:$B$10</c:f>
              <c:numCache>
                <c:formatCode>0.00</c:formatCode>
                <c:ptCount val="9"/>
                <c:pt idx="0">
                  <c:v>62.38</c:v>
                </c:pt>
                <c:pt idx="1">
                  <c:v>40</c:v>
                </c:pt>
                <c:pt idx="2">
                  <c:v>38</c:v>
                </c:pt>
                <c:pt idx="3">
                  <c:v>39.35</c:v>
                </c:pt>
                <c:pt idx="4">
                  <c:v>34.31</c:v>
                </c:pt>
                <c:pt idx="5">
                  <c:v>34.31</c:v>
                </c:pt>
                <c:pt idx="6">
                  <c:v>23.91</c:v>
                </c:pt>
                <c:pt idx="7">
                  <c:v>0.35</c:v>
                </c:pt>
                <c:pt idx="8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3-41B6-B0D8-9E51E70B7A93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186842</xdr:colOff>
      <xdr:row>16</xdr:row>
      <xdr:rowOff>115261</xdr:rowOff>
    </xdr:from>
    <xdr:to>
      <xdr:col>4</xdr:col>
      <xdr:colOff>662214</xdr:colOff>
      <xdr:row>38</xdr:row>
      <xdr:rowOff>30203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C5BCD2-441B-7875-63C7-AD8045A44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1125536</xdr:colOff>
      <xdr:row>19</xdr:row>
      <xdr:rowOff>94817</xdr:rowOff>
    </xdr:from>
    <xdr:to>
      <xdr:col>6</xdr:col>
      <xdr:colOff>784024</xdr:colOff>
      <xdr:row>35</xdr:row>
      <xdr:rowOff>48094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C767D8-B7EE-69F6-D016-9F94A271F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285751</xdr:colOff>
      <xdr:row>27</xdr:row>
      <xdr:rowOff>122464</xdr:rowOff>
    </xdr:from>
    <xdr:to>
      <xdr:col>17</xdr:col>
      <xdr:colOff>936625</xdr:colOff>
      <xdr:row>56</xdr:row>
      <xdr:rowOff>105846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3BA69EC-A890-D812-4D9B-4A481CBBF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380999</xdr:colOff>
      <xdr:row>16</xdr:row>
      <xdr:rowOff>107577</xdr:rowOff>
    </xdr:from>
    <xdr:to>
      <xdr:col>29</xdr:col>
      <xdr:colOff>52293</xdr:colOff>
      <xdr:row>31</xdr:row>
      <xdr:rowOff>26895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205DE9-40FF-A52E-2285-893EF45C8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1174751</xdr:colOff>
      <xdr:row>116</xdr:row>
      <xdr:rowOff>20864</xdr:rowOff>
    </xdr:from>
    <xdr:to>
      <xdr:col>10</xdr:col>
      <xdr:colOff>5746751</xdr:colOff>
      <xdr:row>131</xdr:row>
      <xdr:rowOff>42635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09D8EA-37A0-64E3-29AD-477F9FBA7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140608</xdr:colOff>
      <xdr:row>108</xdr:row>
      <xdr:rowOff>175078</xdr:rowOff>
    </xdr:from>
    <xdr:to>
      <xdr:col>14</xdr:col>
      <xdr:colOff>58965</xdr:colOff>
      <xdr:row>124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1D2304-DCCD-A17D-EEBD-5276CCC54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374650</xdr:colOff>
      <xdr:row>33</xdr:row>
      <xdr:rowOff>44450</xdr:rowOff>
    </xdr:from>
    <xdr:to>
      <xdr:col>2</xdr:col>
      <xdr:colOff>755650</xdr:colOff>
      <xdr:row>47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94CFB-865A-B986-08F9-BEADEEC29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1815354</xdr:colOff>
      <xdr:row>25</xdr:row>
      <xdr:rowOff>10459</xdr:rowOff>
    </xdr:from>
    <xdr:to>
      <xdr:col>4</xdr:col>
      <xdr:colOff>254001</xdr:colOff>
      <xdr:row>39</xdr:row>
      <xdr:rowOff>138953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86CC58-DF3D-1274-FFE0-BD3615A27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"/>
  <sheetViews>
    <sheetView zoomScale="85" zoomScaleNormal="85" workbookViewId="0">
      <selection activeCell="B6" sqref="B6"/>
    </sheetView>
  </sheetViews>
  <sheetFormatPr defaultRowHeight="14.5" x14ac:dyDescent="0.35"/>
  <cols>
    <col min="2" max="2" width="49.08984375" bestFit="1" customWidth="1"/>
    <col min="3" max="3" width="11.6328125" bestFit="1" customWidth="1"/>
    <col min="4" max="4" width="21.08984375" style="3" bestFit="1" customWidth="1"/>
    <col min="5" max="5" width="29.36328125" bestFit="1" customWidth="1"/>
    <col min="6" max="6" width="35.36328125" bestFit="1" customWidth="1"/>
    <col min="7" max="7" width="32.1796875" bestFit="1" customWidth="1"/>
    <col min="8" max="9" width="29.26953125" bestFit="1" customWidth="1"/>
    <col min="10" max="10" width="83.6328125" bestFit="1" customWidth="1"/>
    <col min="11" max="11" width="17.6328125" style="2" bestFit="1" customWidth="1"/>
    <col min="12" max="12" width="27.7265625" style="2" bestFit="1" customWidth="1"/>
    <col min="13" max="13" width="17.453125" bestFit="1" customWidth="1"/>
    <col min="14" max="14" width="14.7265625" bestFit="1" customWidth="1"/>
    <col min="15" max="15" width="20.36328125" bestFit="1" customWidth="1"/>
    <col min="16" max="16" width="17.453125" bestFit="1" customWidth="1"/>
    <col min="17" max="17" width="45.26953125" bestFit="1" customWidth="1"/>
    <col min="18" max="18" width="21.81640625" bestFit="1" customWidth="1"/>
    <col min="19" max="19" width="17.453125" bestFit="1" customWidth="1"/>
    <col min="20" max="20" width="38.26953125" bestFit="1" customWidth="1"/>
    <col min="21" max="21" width="29.7265625" bestFit="1" customWidth="1"/>
  </cols>
  <sheetData>
    <row r="1" spans="1:29" ht="29.5" thickBot="1" x14ac:dyDescent="0.4">
      <c r="A1" s="1" t="s">
        <v>0</v>
      </c>
      <c r="B1" s="1" t="s">
        <v>1</v>
      </c>
      <c r="C1" s="1" t="s">
        <v>2</v>
      </c>
      <c r="D1" s="1" t="s">
        <v>131</v>
      </c>
      <c r="E1" s="4" t="s">
        <v>141</v>
      </c>
      <c r="F1" s="4" t="s">
        <v>140</v>
      </c>
      <c r="G1" s="4" t="s">
        <v>142</v>
      </c>
      <c r="H1" s="4" t="s">
        <v>143</v>
      </c>
      <c r="I1" s="4" t="s">
        <v>144</v>
      </c>
      <c r="J1" s="4" t="s">
        <v>133</v>
      </c>
      <c r="K1" s="1" t="s">
        <v>3</v>
      </c>
      <c r="L1" s="1" t="s">
        <v>4</v>
      </c>
      <c r="M1" s="9" t="s">
        <v>164</v>
      </c>
      <c r="N1" s="4" t="s">
        <v>165</v>
      </c>
      <c r="O1" s="4" t="s">
        <v>166</v>
      </c>
      <c r="P1" s="9" t="s">
        <v>164</v>
      </c>
      <c r="Q1" s="10" t="s">
        <v>5</v>
      </c>
      <c r="R1" s="11" t="s">
        <v>6</v>
      </c>
      <c r="S1" s="27" t="s">
        <v>164</v>
      </c>
      <c r="T1" s="28" t="s">
        <v>7</v>
      </c>
      <c r="U1" s="29" t="s">
        <v>8</v>
      </c>
      <c r="V1" s="38" t="s">
        <v>390</v>
      </c>
      <c r="W1" s="57" t="s">
        <v>421</v>
      </c>
      <c r="X1" s="71" t="s">
        <v>390</v>
      </c>
      <c r="Y1" s="78" t="s">
        <v>14</v>
      </c>
      <c r="Z1" s="78" t="s">
        <v>65</v>
      </c>
      <c r="AA1" s="78" t="s">
        <v>342</v>
      </c>
      <c r="AB1" s="79" t="s">
        <v>422</v>
      </c>
    </row>
    <row r="2" spans="1:29" x14ac:dyDescent="0.35">
      <c r="A2">
        <v>1</v>
      </c>
      <c r="B2" t="s">
        <v>9</v>
      </c>
      <c r="C2" t="s">
        <v>10</v>
      </c>
      <c r="D2" s="2">
        <f>(1100+1300)/2</f>
        <v>1200</v>
      </c>
      <c r="E2" s="2">
        <v>34540.381000000001</v>
      </c>
      <c r="F2" s="2" t="s">
        <v>11</v>
      </c>
      <c r="G2" s="2" t="s">
        <v>11</v>
      </c>
      <c r="H2" s="2" t="s">
        <v>11</v>
      </c>
      <c r="I2" s="6">
        <f>(19694.432+867.882+2561.032)/3</f>
        <v>7707.7820000000002</v>
      </c>
      <c r="J2" s="7" t="s">
        <v>134</v>
      </c>
      <c r="K2">
        <v>72</v>
      </c>
      <c r="L2">
        <v>50.26</v>
      </c>
      <c r="M2" s="14" t="s">
        <v>10</v>
      </c>
      <c r="N2" s="2" t="s">
        <v>11</v>
      </c>
      <c r="O2" s="22" t="s">
        <v>11</v>
      </c>
      <c r="P2" s="12" t="s">
        <v>10</v>
      </c>
      <c r="Q2" s="2" t="s">
        <v>150</v>
      </c>
      <c r="R2" s="13">
        <v>354532</v>
      </c>
      <c r="S2" s="25" t="s">
        <v>10</v>
      </c>
      <c r="T2" t="s">
        <v>11</v>
      </c>
      <c r="U2" s="22" t="s">
        <v>11</v>
      </c>
      <c r="V2" s="34" t="s">
        <v>13</v>
      </c>
      <c r="W2" s="56">
        <v>250</v>
      </c>
      <c r="X2" s="72" t="s">
        <v>36</v>
      </c>
      <c r="Y2" s="56">
        <v>122.61</v>
      </c>
      <c r="Z2" s="56">
        <v>48.02</v>
      </c>
      <c r="AA2" s="56">
        <v>18.350000000000001</v>
      </c>
      <c r="AB2" s="80">
        <v>20.54</v>
      </c>
      <c r="AC2">
        <f t="shared" ref="AC2:AC4" si="0">SUM(Y2:AB2)</f>
        <v>209.51999999999998</v>
      </c>
    </row>
    <row r="3" spans="1:29" x14ac:dyDescent="0.35">
      <c r="A3">
        <v>2</v>
      </c>
      <c r="B3" t="s">
        <v>12</v>
      </c>
      <c r="C3" t="s">
        <v>13</v>
      </c>
      <c r="D3" s="2">
        <v>1250</v>
      </c>
      <c r="E3" s="2">
        <f>(43215.332+37289.924+70072.629)/3</f>
        <v>50192.628333333334</v>
      </c>
      <c r="F3" s="2">
        <f>(20649.714+26885.285+25085.383)/3</f>
        <v>24206.793999999998</v>
      </c>
      <c r="G3" s="2" t="s">
        <v>11</v>
      </c>
      <c r="H3" s="2" t="s">
        <v>11</v>
      </c>
      <c r="I3" s="6">
        <f>(18589.8+18589.8+18589.8)/3</f>
        <v>18589.8</v>
      </c>
      <c r="J3" s="7" t="s">
        <v>135</v>
      </c>
      <c r="K3">
        <v>40</v>
      </c>
      <c r="L3">
        <v>59.65</v>
      </c>
      <c r="M3" s="14" t="s">
        <v>13</v>
      </c>
      <c r="N3" s="6" t="s">
        <v>17</v>
      </c>
      <c r="O3" s="22">
        <v>50</v>
      </c>
      <c r="P3" s="12" t="s">
        <v>10</v>
      </c>
      <c r="Q3" s="2" t="s">
        <v>146</v>
      </c>
      <c r="R3" s="13">
        <v>196820</v>
      </c>
      <c r="S3" s="25" t="s">
        <v>13</v>
      </c>
      <c r="T3" t="s">
        <v>14</v>
      </c>
      <c r="U3" s="22">
        <v>250</v>
      </c>
      <c r="V3" s="34" t="s">
        <v>410</v>
      </c>
      <c r="W3" s="56">
        <v>200</v>
      </c>
      <c r="X3" s="72" t="s">
        <v>33</v>
      </c>
      <c r="Y3" s="56">
        <v>186</v>
      </c>
      <c r="Z3" s="56">
        <v>9.34</v>
      </c>
      <c r="AA3" s="56">
        <v>32.28</v>
      </c>
      <c r="AB3" s="80">
        <v>0</v>
      </c>
      <c r="AC3">
        <f t="shared" si="0"/>
        <v>227.62</v>
      </c>
    </row>
    <row r="4" spans="1:29" x14ac:dyDescent="0.35">
      <c r="A4">
        <v>3</v>
      </c>
      <c r="B4" t="s">
        <v>15</v>
      </c>
      <c r="C4" t="s">
        <v>16</v>
      </c>
      <c r="D4" s="2">
        <f>(1100+1350)/2</f>
        <v>1225</v>
      </c>
      <c r="E4" s="2">
        <f>(75865.3768+84401.06179)/2</f>
        <v>80133.219295000003</v>
      </c>
      <c r="F4" s="2">
        <f>(32286.4418+18607.06179)/2</f>
        <v>25446.751795</v>
      </c>
      <c r="G4" s="2" t="s">
        <v>11</v>
      </c>
      <c r="H4" s="2" t="s">
        <v>11</v>
      </c>
      <c r="I4" s="6">
        <f>(12282.01418+8211.31318)/2</f>
        <v>10246.66368</v>
      </c>
      <c r="J4" s="7" t="s">
        <v>135</v>
      </c>
      <c r="K4">
        <v>37.5</v>
      </c>
      <c r="L4">
        <v>61.87</v>
      </c>
      <c r="M4" s="14" t="s">
        <v>13</v>
      </c>
      <c r="N4" s="2" t="s">
        <v>168</v>
      </c>
      <c r="O4" s="22">
        <v>50</v>
      </c>
      <c r="P4" s="12" t="s">
        <v>10</v>
      </c>
      <c r="Q4" s="2" t="s">
        <v>147</v>
      </c>
      <c r="R4" s="13">
        <v>136</v>
      </c>
      <c r="S4" s="25" t="s">
        <v>16</v>
      </c>
      <c r="T4" t="s">
        <v>11</v>
      </c>
      <c r="U4" s="22" t="s">
        <v>11</v>
      </c>
      <c r="V4" s="34" t="s">
        <v>411</v>
      </c>
      <c r="W4" s="56">
        <v>200</v>
      </c>
      <c r="X4" s="72" t="s">
        <v>410</v>
      </c>
      <c r="Y4" s="56">
        <v>200</v>
      </c>
      <c r="Z4" s="56">
        <v>21</v>
      </c>
      <c r="AA4" s="56">
        <v>0.74</v>
      </c>
      <c r="AB4" s="80">
        <v>0</v>
      </c>
      <c r="AC4">
        <f t="shared" si="0"/>
        <v>221.74</v>
      </c>
    </row>
    <row r="5" spans="1:29" x14ac:dyDescent="0.35">
      <c r="A5">
        <v>4</v>
      </c>
      <c r="B5" t="s">
        <v>18</v>
      </c>
      <c r="C5" t="s">
        <v>19</v>
      </c>
      <c r="D5" s="2">
        <v>1450</v>
      </c>
      <c r="E5" s="2">
        <v>129460.829</v>
      </c>
      <c r="F5" s="2">
        <v>57714.027000000002</v>
      </c>
      <c r="G5" s="2" t="s">
        <v>11</v>
      </c>
      <c r="H5" s="2" t="s">
        <v>11</v>
      </c>
      <c r="I5" s="2">
        <v>5472.1434900000004</v>
      </c>
      <c r="J5" s="7" t="s">
        <v>135</v>
      </c>
      <c r="K5">
        <v>22</v>
      </c>
      <c r="L5">
        <v>48.27</v>
      </c>
      <c r="M5" s="14" t="s">
        <v>16</v>
      </c>
      <c r="N5" s="6" t="s">
        <v>17</v>
      </c>
      <c r="O5" s="22" t="s">
        <v>11</v>
      </c>
      <c r="P5" s="12" t="s">
        <v>10</v>
      </c>
      <c r="Q5" s="2" t="s">
        <v>148</v>
      </c>
      <c r="R5" s="13">
        <v>111.03</v>
      </c>
      <c r="S5" s="25" t="s">
        <v>19</v>
      </c>
      <c r="T5" s="5" t="s">
        <v>14</v>
      </c>
      <c r="U5" s="22" t="s">
        <v>11</v>
      </c>
      <c r="V5" s="34" t="s">
        <v>33</v>
      </c>
      <c r="W5" s="56">
        <v>186</v>
      </c>
      <c r="X5" s="72" t="s">
        <v>411</v>
      </c>
      <c r="Y5" s="56">
        <v>200</v>
      </c>
      <c r="Z5" s="56">
        <v>19</v>
      </c>
      <c r="AA5" s="56">
        <v>67.180000000000007</v>
      </c>
      <c r="AB5" s="80">
        <v>0</v>
      </c>
      <c r="AC5">
        <f>SUM(Y5:AB5)</f>
        <v>286.18</v>
      </c>
    </row>
    <row r="6" spans="1:29" x14ac:dyDescent="0.35">
      <c r="A6">
        <v>5</v>
      </c>
      <c r="B6" t="s">
        <v>20</v>
      </c>
      <c r="C6" t="s">
        <v>21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  <c r="I6" s="6">
        <v>171089</v>
      </c>
      <c r="J6" s="7" t="s">
        <v>136</v>
      </c>
      <c r="K6">
        <v>30</v>
      </c>
      <c r="L6">
        <v>47.97</v>
      </c>
      <c r="M6" s="14" t="s">
        <v>19</v>
      </c>
      <c r="N6" s="6" t="s">
        <v>17</v>
      </c>
      <c r="O6" s="22">
        <v>50</v>
      </c>
      <c r="P6" s="12" t="s">
        <v>10</v>
      </c>
      <c r="Q6" s="2" t="s">
        <v>149</v>
      </c>
      <c r="R6" s="13">
        <v>30759</v>
      </c>
      <c r="S6" s="25" t="s">
        <v>19</v>
      </c>
      <c r="T6" s="5" t="s">
        <v>171</v>
      </c>
      <c r="U6" s="22" t="s">
        <v>11</v>
      </c>
      <c r="V6" s="34" t="s">
        <v>25</v>
      </c>
      <c r="W6" s="56">
        <v>122</v>
      </c>
      <c r="X6" s="72" t="s">
        <v>13</v>
      </c>
      <c r="Y6" s="56">
        <v>250</v>
      </c>
      <c r="Z6" s="56">
        <v>0</v>
      </c>
      <c r="AA6" s="56">
        <v>0</v>
      </c>
      <c r="AB6" s="80">
        <v>0</v>
      </c>
      <c r="AC6">
        <f t="shared" ref="AC6:AC8" si="1">SUM(Y6:AB6)</f>
        <v>250</v>
      </c>
    </row>
    <row r="7" spans="1:29" x14ac:dyDescent="0.35">
      <c r="A7">
        <v>6</v>
      </c>
      <c r="B7" t="s">
        <v>22</v>
      </c>
      <c r="C7" t="s">
        <v>23</v>
      </c>
      <c r="D7" s="2">
        <v>1450</v>
      </c>
      <c r="E7" s="2" t="s">
        <v>11</v>
      </c>
      <c r="F7" s="2" t="s">
        <v>11</v>
      </c>
      <c r="G7" s="2" t="s">
        <v>11</v>
      </c>
      <c r="H7" s="2" t="s">
        <v>11</v>
      </c>
      <c r="I7" s="6">
        <v>272485</v>
      </c>
      <c r="J7" s="7" t="s">
        <v>137</v>
      </c>
      <c r="K7">
        <v>45</v>
      </c>
      <c r="L7">
        <v>55.88</v>
      </c>
      <c r="M7" s="14" t="s">
        <v>19</v>
      </c>
      <c r="N7" s="2" t="s">
        <v>168</v>
      </c>
      <c r="O7" s="22">
        <f>(35+38)/2</f>
        <v>36.5</v>
      </c>
      <c r="P7" s="12" t="s">
        <v>13</v>
      </c>
      <c r="Q7" s="2" t="s">
        <v>151</v>
      </c>
      <c r="R7" s="13">
        <v>592</v>
      </c>
      <c r="S7" s="25" t="s">
        <v>21</v>
      </c>
      <c r="T7" s="5" t="s">
        <v>14</v>
      </c>
      <c r="U7" s="26">
        <v>200</v>
      </c>
      <c r="V7" s="34" t="s">
        <v>36</v>
      </c>
      <c r="W7" s="56">
        <v>123</v>
      </c>
      <c r="X7" s="72" t="s">
        <v>132</v>
      </c>
      <c r="Y7" s="56">
        <v>117.53</v>
      </c>
      <c r="Z7" s="56">
        <v>0</v>
      </c>
      <c r="AA7" s="56">
        <v>0</v>
      </c>
      <c r="AB7" s="80">
        <v>0</v>
      </c>
      <c r="AC7">
        <f t="shared" si="1"/>
        <v>117.53</v>
      </c>
    </row>
    <row r="8" spans="1:29" ht="15" thickBot="1" x14ac:dyDescent="0.4">
      <c r="A8">
        <v>7</v>
      </c>
      <c r="B8" t="s">
        <v>24</v>
      </c>
      <c r="C8" t="s">
        <v>25</v>
      </c>
      <c r="D8" s="2">
        <f>(865+885)/2</f>
        <v>875</v>
      </c>
      <c r="E8" s="2" t="s">
        <v>11</v>
      </c>
      <c r="F8" s="2">
        <v>67986</v>
      </c>
      <c r="G8" s="2" t="s">
        <v>11</v>
      </c>
      <c r="H8" s="2" t="s">
        <v>11</v>
      </c>
      <c r="I8" s="6">
        <f>(175530+93555+6260+4438+2322)/5</f>
        <v>56421</v>
      </c>
      <c r="J8" s="7" t="s">
        <v>138</v>
      </c>
      <c r="K8">
        <v>29</v>
      </c>
      <c r="L8">
        <v>58.07</v>
      </c>
      <c r="M8" s="14" t="s">
        <v>21</v>
      </c>
      <c r="N8" s="6" t="s">
        <v>11</v>
      </c>
      <c r="O8" s="22" t="s">
        <v>11</v>
      </c>
      <c r="P8" s="12" t="s">
        <v>13</v>
      </c>
      <c r="Q8" s="2" t="s">
        <v>152</v>
      </c>
      <c r="R8" s="13">
        <v>25</v>
      </c>
      <c r="S8" s="25" t="s">
        <v>21</v>
      </c>
      <c r="T8" t="s">
        <v>173</v>
      </c>
      <c r="U8" s="22">
        <v>21</v>
      </c>
      <c r="V8" s="34" t="s">
        <v>132</v>
      </c>
      <c r="W8" s="56">
        <v>118</v>
      </c>
      <c r="X8" s="74" t="s">
        <v>25</v>
      </c>
      <c r="Y8" s="81">
        <v>122</v>
      </c>
      <c r="Z8" s="81">
        <v>0</v>
      </c>
      <c r="AA8" s="81">
        <v>0</v>
      </c>
      <c r="AB8" s="82">
        <v>0</v>
      </c>
      <c r="AC8">
        <f t="shared" si="1"/>
        <v>122</v>
      </c>
    </row>
    <row r="9" spans="1:29" x14ac:dyDescent="0.35">
      <c r="A9">
        <v>8</v>
      </c>
      <c r="B9" t="s">
        <v>27</v>
      </c>
      <c r="C9" t="s">
        <v>28</v>
      </c>
      <c r="D9" s="2">
        <f>(1100+1300)/2</f>
        <v>1200</v>
      </c>
      <c r="E9" s="2">
        <v>174654.37</v>
      </c>
      <c r="F9" s="2">
        <v>97660.3</v>
      </c>
      <c r="G9" s="2">
        <v>11928.15</v>
      </c>
      <c r="H9" s="2">
        <v>15954.27</v>
      </c>
      <c r="I9" s="2" t="s">
        <v>11</v>
      </c>
      <c r="J9" s="7" t="s">
        <v>11</v>
      </c>
      <c r="K9">
        <v>84</v>
      </c>
      <c r="L9">
        <v>59.05</v>
      </c>
      <c r="M9" s="14" t="s">
        <v>23</v>
      </c>
      <c r="N9" s="2" t="s">
        <v>11</v>
      </c>
      <c r="O9" s="22" t="s">
        <v>11</v>
      </c>
      <c r="P9" s="14" t="s">
        <v>16</v>
      </c>
      <c r="Q9" s="2" t="s">
        <v>145</v>
      </c>
      <c r="R9" s="13" t="s">
        <v>11</v>
      </c>
      <c r="S9" s="25" t="s">
        <v>21</v>
      </c>
      <c r="T9" t="s">
        <v>172</v>
      </c>
      <c r="U9" s="22">
        <v>0.74</v>
      </c>
      <c r="Y9">
        <f>SUM(Y2:Y8)</f>
        <v>1198.1400000000001</v>
      </c>
      <c r="Z9">
        <f>SUM(Z2:Z8)</f>
        <v>97.36</v>
      </c>
      <c r="AA9">
        <f>SUM(AA2:AA8)</f>
        <v>118.55000000000001</v>
      </c>
      <c r="AB9">
        <f>SUM(AB2:AB8)</f>
        <v>20.54</v>
      </c>
    </row>
    <row r="10" spans="1:29" x14ac:dyDescent="0.35">
      <c r="A10">
        <v>9</v>
      </c>
      <c r="B10" t="s">
        <v>30</v>
      </c>
      <c r="C10" t="s">
        <v>31</v>
      </c>
      <c r="D10" s="2">
        <f>(1250+1400)/2</f>
        <v>1325</v>
      </c>
      <c r="E10" s="2">
        <f>(111185.4+123049.54)/2</f>
        <v>117117.47</v>
      </c>
      <c r="F10" s="2">
        <f>(91512.43+35750.96)/2</f>
        <v>63631.694999999992</v>
      </c>
      <c r="G10" s="2" t="s">
        <v>11</v>
      </c>
      <c r="H10" s="2" t="s">
        <v>11</v>
      </c>
      <c r="I10" s="6">
        <f>(17912.409+6275.24)/2</f>
        <v>12093.824499999999</v>
      </c>
      <c r="J10" s="7" t="s">
        <v>135</v>
      </c>
      <c r="K10">
        <v>40</v>
      </c>
      <c r="L10">
        <v>51.06</v>
      </c>
      <c r="M10" s="14" t="s">
        <v>25</v>
      </c>
      <c r="N10" s="2" t="s">
        <v>169</v>
      </c>
      <c r="O10" s="22">
        <v>50</v>
      </c>
      <c r="P10" s="12" t="s">
        <v>19</v>
      </c>
      <c r="Q10" s="2" t="s">
        <v>153</v>
      </c>
      <c r="R10" s="15">
        <v>1501038.527</v>
      </c>
      <c r="S10" s="25" t="s">
        <v>23</v>
      </c>
      <c r="T10" s="5" t="s">
        <v>14</v>
      </c>
      <c r="U10" s="26">
        <v>200</v>
      </c>
    </row>
    <row r="11" spans="1:29" ht="15" thickBot="1" x14ac:dyDescent="0.4">
      <c r="A11">
        <v>10</v>
      </c>
      <c r="B11" t="s">
        <v>32</v>
      </c>
      <c r="C11" t="s">
        <v>33</v>
      </c>
      <c r="D11" s="2">
        <f>(1000+1200)/2</f>
        <v>1100</v>
      </c>
      <c r="E11" s="2">
        <v>175202.7</v>
      </c>
      <c r="F11" s="2" t="s">
        <v>11</v>
      </c>
      <c r="G11" s="2">
        <v>5971.2</v>
      </c>
      <c r="H11" s="2" t="s">
        <v>11</v>
      </c>
      <c r="I11" s="6">
        <v>1478.02</v>
      </c>
      <c r="J11" s="7" t="s">
        <v>139</v>
      </c>
      <c r="K11">
        <v>32.5</v>
      </c>
      <c r="L11">
        <v>66.239999999999995</v>
      </c>
      <c r="M11" s="14" t="s">
        <v>25</v>
      </c>
      <c r="N11" s="2" t="s">
        <v>167</v>
      </c>
      <c r="O11" s="22" t="s">
        <v>11</v>
      </c>
      <c r="P11" s="12" t="s">
        <v>19</v>
      </c>
      <c r="Q11" s="2" t="s">
        <v>154</v>
      </c>
      <c r="R11" s="13">
        <v>776652.95120000001</v>
      </c>
      <c r="S11" s="25" t="s">
        <v>23</v>
      </c>
      <c r="T11" t="s">
        <v>174</v>
      </c>
      <c r="U11" s="22">
        <v>19</v>
      </c>
    </row>
    <row r="12" spans="1:29" ht="15" thickBot="1" x14ac:dyDescent="0.4">
      <c r="A12">
        <v>11</v>
      </c>
      <c r="B12" t="s">
        <v>34</v>
      </c>
      <c r="C12" t="s">
        <v>132</v>
      </c>
      <c r="D12" s="2">
        <v>1450</v>
      </c>
      <c r="E12" s="2" t="s">
        <v>11</v>
      </c>
      <c r="F12" s="2" t="s">
        <v>11</v>
      </c>
      <c r="G12" s="2" t="s">
        <v>11</v>
      </c>
      <c r="H12" s="2" t="s">
        <v>11</v>
      </c>
      <c r="I12" s="6">
        <v>781.1739</v>
      </c>
      <c r="J12" s="7" t="s">
        <v>137</v>
      </c>
      <c r="K12" s="2" t="s">
        <v>11</v>
      </c>
      <c r="L12" t="s">
        <v>11</v>
      </c>
      <c r="M12" s="14" t="s">
        <v>28</v>
      </c>
      <c r="N12" s="2" t="s">
        <v>170</v>
      </c>
      <c r="O12" s="22">
        <v>1.25</v>
      </c>
      <c r="P12" s="12" t="s">
        <v>19</v>
      </c>
      <c r="Q12" s="2" t="s">
        <v>155</v>
      </c>
      <c r="R12" s="13">
        <v>8873.1110599999993</v>
      </c>
      <c r="S12" s="25" t="s">
        <v>23</v>
      </c>
      <c r="T12" t="s">
        <v>175</v>
      </c>
      <c r="U12" s="22">
        <v>67.180000000000007</v>
      </c>
      <c r="W12" s="78" t="s">
        <v>14</v>
      </c>
      <c r="X12" s="32">
        <v>0.83499999999999996</v>
      </c>
    </row>
    <row r="13" spans="1:29" ht="15" thickBot="1" x14ac:dyDescent="0.4">
      <c r="A13">
        <v>12</v>
      </c>
      <c r="B13" t="s">
        <v>35</v>
      </c>
      <c r="C13" t="s">
        <v>36</v>
      </c>
      <c r="D13" s="2">
        <f>(1000+1250)/2</f>
        <v>1125</v>
      </c>
      <c r="E13" s="2">
        <v>258405.9</v>
      </c>
      <c r="F13" s="2">
        <v>71769.87</v>
      </c>
      <c r="G13" s="2" t="s">
        <v>11</v>
      </c>
      <c r="H13" s="2">
        <v>27224.9</v>
      </c>
      <c r="I13" s="2">
        <v>357400.7</v>
      </c>
      <c r="J13" s="7" t="s">
        <v>137</v>
      </c>
      <c r="K13">
        <v>44</v>
      </c>
      <c r="L13">
        <v>68.430000000000007</v>
      </c>
      <c r="M13" s="14" t="s">
        <v>28</v>
      </c>
      <c r="N13" s="2" t="s">
        <v>169</v>
      </c>
      <c r="O13" s="22">
        <v>50</v>
      </c>
      <c r="P13" s="12" t="s">
        <v>19</v>
      </c>
      <c r="Q13" s="2" t="s">
        <v>156</v>
      </c>
      <c r="R13" s="13">
        <v>78606</v>
      </c>
      <c r="S13" s="25" t="s">
        <v>25</v>
      </c>
      <c r="T13" t="s">
        <v>14</v>
      </c>
      <c r="U13" s="22">
        <v>122</v>
      </c>
      <c r="W13" s="78" t="s">
        <v>65</v>
      </c>
      <c r="X13" s="32">
        <v>6.8000000000000005E-2</v>
      </c>
    </row>
    <row r="14" spans="1:29" ht="15" thickBot="1" x14ac:dyDescent="0.4">
      <c r="M14" s="14" t="s">
        <v>28</v>
      </c>
      <c r="N14" s="2" t="s">
        <v>168</v>
      </c>
      <c r="O14" s="22">
        <v>50</v>
      </c>
      <c r="P14" s="12" t="s">
        <v>19</v>
      </c>
      <c r="Q14" s="2" t="s">
        <v>29</v>
      </c>
      <c r="R14" s="13">
        <v>2365168.1359999999</v>
      </c>
      <c r="S14" s="25" t="s">
        <v>28</v>
      </c>
      <c r="T14" t="s">
        <v>29</v>
      </c>
      <c r="U14" s="22">
        <v>308.44</v>
      </c>
      <c r="W14" s="78" t="s">
        <v>342</v>
      </c>
      <c r="X14" s="32">
        <v>8.3000000000000004E-2</v>
      </c>
    </row>
    <row r="15" spans="1:29" ht="43.5" x14ac:dyDescent="0.35">
      <c r="M15" s="14" t="s">
        <v>31</v>
      </c>
      <c r="N15" s="2" t="s">
        <v>169</v>
      </c>
      <c r="O15" s="22" t="s">
        <v>11</v>
      </c>
      <c r="P15" s="12" t="s">
        <v>21</v>
      </c>
      <c r="Q15" s="2" t="s">
        <v>11</v>
      </c>
      <c r="R15" s="16" t="s">
        <v>11</v>
      </c>
      <c r="S15" s="25" t="s">
        <v>31</v>
      </c>
      <c r="T15" s="5" t="s">
        <v>177</v>
      </c>
      <c r="U15" s="22" t="s">
        <v>11</v>
      </c>
      <c r="W15" s="79" t="s">
        <v>423</v>
      </c>
      <c r="X15" s="32">
        <v>1.4E-2</v>
      </c>
    </row>
    <row r="16" spans="1:29" x14ac:dyDescent="0.35">
      <c r="M16" s="14" t="s">
        <v>31</v>
      </c>
      <c r="N16" s="2" t="s">
        <v>167</v>
      </c>
      <c r="O16" s="22">
        <v>50</v>
      </c>
      <c r="P16" s="12" t="s">
        <v>23</v>
      </c>
      <c r="Q16" s="2" t="s">
        <v>11</v>
      </c>
      <c r="R16" s="16" t="s">
        <v>11</v>
      </c>
      <c r="S16" s="25" t="s">
        <v>31</v>
      </c>
      <c r="T16" t="s">
        <v>176</v>
      </c>
      <c r="U16" s="22" t="s">
        <v>11</v>
      </c>
      <c r="X16" s="32">
        <f>SUM(X12:X15)</f>
        <v>1</v>
      </c>
    </row>
    <row r="17" spans="13:21" x14ac:dyDescent="0.35">
      <c r="M17" s="14" t="s">
        <v>33</v>
      </c>
      <c r="N17" s="2" t="s">
        <v>167</v>
      </c>
      <c r="O17" s="22">
        <v>50</v>
      </c>
      <c r="P17" s="12" t="s">
        <v>25</v>
      </c>
      <c r="Q17" s="2" t="s">
        <v>26</v>
      </c>
      <c r="R17" s="15">
        <v>671.72</v>
      </c>
      <c r="S17" s="25" t="s">
        <v>33</v>
      </c>
      <c r="T17" s="5" t="s">
        <v>14</v>
      </c>
      <c r="U17" s="26">
        <v>186</v>
      </c>
    </row>
    <row r="18" spans="13:21" x14ac:dyDescent="0.35">
      <c r="M18" s="14" t="s">
        <v>132</v>
      </c>
      <c r="N18" s="2" t="s">
        <v>167</v>
      </c>
      <c r="O18" s="22">
        <v>50</v>
      </c>
      <c r="P18" s="12" t="s">
        <v>28</v>
      </c>
      <c r="Q18" s="2" t="s">
        <v>26</v>
      </c>
      <c r="R18" s="15">
        <v>715</v>
      </c>
      <c r="S18" s="25" t="s">
        <v>33</v>
      </c>
      <c r="T18" t="s">
        <v>179</v>
      </c>
      <c r="U18" s="22">
        <v>9.34</v>
      </c>
    </row>
    <row r="19" spans="13:21" x14ac:dyDescent="0.35">
      <c r="M19" s="14" t="s">
        <v>36</v>
      </c>
      <c r="N19" s="2" t="s">
        <v>169</v>
      </c>
      <c r="O19" s="22">
        <v>50</v>
      </c>
      <c r="P19" s="12" t="s">
        <v>31</v>
      </c>
      <c r="Q19" s="2" t="s">
        <v>26</v>
      </c>
      <c r="R19" s="15">
        <v>636</v>
      </c>
      <c r="S19" s="25" t="s">
        <v>33</v>
      </c>
      <c r="T19" t="s">
        <v>178</v>
      </c>
      <c r="U19" s="22">
        <v>32.28</v>
      </c>
    </row>
    <row r="20" spans="13:21" ht="15" thickBot="1" x14ac:dyDescent="0.4">
      <c r="M20" s="23" t="s">
        <v>36</v>
      </c>
      <c r="N20" s="20" t="s">
        <v>168</v>
      </c>
      <c r="O20" s="24" t="s">
        <v>11</v>
      </c>
      <c r="P20" s="12" t="s">
        <v>33</v>
      </c>
      <c r="Q20" s="6" t="s">
        <v>160</v>
      </c>
      <c r="R20" s="15">
        <v>2209448.443</v>
      </c>
      <c r="S20" s="25" t="s">
        <v>132</v>
      </c>
      <c r="T20" t="s">
        <v>14</v>
      </c>
      <c r="U20" s="22">
        <v>117.53</v>
      </c>
    </row>
    <row r="21" spans="13:21" x14ac:dyDescent="0.35">
      <c r="P21" s="12" t="s">
        <v>33</v>
      </c>
      <c r="Q21" s="2" t="s">
        <v>158</v>
      </c>
      <c r="R21" s="13">
        <v>74667</v>
      </c>
      <c r="S21" s="25" t="s">
        <v>36</v>
      </c>
      <c r="T21" s="5" t="s">
        <v>14</v>
      </c>
      <c r="U21" s="26">
        <v>122.61</v>
      </c>
    </row>
    <row r="22" spans="13:21" x14ac:dyDescent="0.35">
      <c r="P22" s="12" t="s">
        <v>33</v>
      </c>
      <c r="Q22" s="2" t="s">
        <v>157</v>
      </c>
      <c r="R22" s="13" t="s">
        <v>11</v>
      </c>
      <c r="S22" s="25" t="s">
        <v>36</v>
      </c>
      <c r="T22" t="s">
        <v>179</v>
      </c>
      <c r="U22" s="22">
        <v>48.02</v>
      </c>
    </row>
    <row r="23" spans="13:21" x14ac:dyDescent="0.35">
      <c r="P23" s="12" t="s">
        <v>132</v>
      </c>
      <c r="Q23" s="2" t="s">
        <v>153</v>
      </c>
      <c r="R23" s="15">
        <v>1431642</v>
      </c>
      <c r="S23" s="25" t="s">
        <v>36</v>
      </c>
      <c r="T23" t="s">
        <v>178</v>
      </c>
      <c r="U23" s="22">
        <v>18.350000000000001</v>
      </c>
    </row>
    <row r="24" spans="13:21" x14ac:dyDescent="0.35">
      <c r="P24" s="12" t="s">
        <v>132</v>
      </c>
      <c r="Q24" s="2" t="s">
        <v>154</v>
      </c>
      <c r="R24" s="13">
        <v>751297</v>
      </c>
      <c r="S24" s="25" t="s">
        <v>36</v>
      </c>
      <c r="T24" t="s">
        <v>181</v>
      </c>
      <c r="U24" s="22">
        <v>1.42</v>
      </c>
    </row>
    <row r="25" spans="13:21" ht="15" thickBot="1" x14ac:dyDescent="0.4">
      <c r="P25" s="12" t="s">
        <v>132</v>
      </c>
      <c r="Q25" s="2" t="s">
        <v>161</v>
      </c>
      <c r="R25" s="13">
        <v>62222</v>
      </c>
      <c r="S25" s="17" t="s">
        <v>36</v>
      </c>
      <c r="T25" s="18" t="s">
        <v>180</v>
      </c>
      <c r="U25" s="24">
        <v>19.12</v>
      </c>
    </row>
    <row r="26" spans="13:21" x14ac:dyDescent="0.35">
      <c r="P26" s="12" t="s">
        <v>36</v>
      </c>
      <c r="Q26" s="2" t="s">
        <v>163</v>
      </c>
      <c r="R26" s="15">
        <v>2814719.44</v>
      </c>
    </row>
    <row r="27" spans="13:21" ht="15" thickBot="1" x14ac:dyDescent="0.4">
      <c r="P27" s="19" t="s">
        <v>36</v>
      </c>
      <c r="Q27" s="20" t="s">
        <v>162</v>
      </c>
      <c r="R27" s="21">
        <v>98665.13</v>
      </c>
    </row>
    <row r="45" spans="11:11" x14ac:dyDescent="0.35">
      <c r="K45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9"/>
  <sheetViews>
    <sheetView zoomScale="70" zoomScaleNormal="70" workbookViewId="0">
      <selection activeCell="L114" sqref="L114"/>
    </sheetView>
  </sheetViews>
  <sheetFormatPr defaultRowHeight="14.5" x14ac:dyDescent="0.35"/>
  <cols>
    <col min="1" max="1" width="12.08984375" bestFit="1" customWidth="1"/>
    <col min="2" max="2" width="49.08984375" bestFit="1" customWidth="1"/>
    <col min="3" max="3" width="20.453125" bestFit="1" customWidth="1"/>
    <col min="4" max="4" width="36.81640625" bestFit="1" customWidth="1"/>
    <col min="5" max="5" width="21.08984375" bestFit="1" customWidth="1"/>
    <col min="6" max="6" width="44.90625" bestFit="1" customWidth="1"/>
    <col min="7" max="7" width="36.08984375" bestFit="1" customWidth="1"/>
    <col min="8" max="8" width="34.1796875" bestFit="1" customWidth="1"/>
    <col min="9" max="9" width="38.6328125" bestFit="1" customWidth="1"/>
    <col min="10" max="10" width="34.1796875" bestFit="1" customWidth="1"/>
    <col min="11" max="11" width="94.08984375" bestFit="1" customWidth="1"/>
    <col min="12" max="12" width="49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37</v>
      </c>
      <c r="E1" s="1" t="s">
        <v>366</v>
      </c>
      <c r="F1" s="1" t="s">
        <v>38</v>
      </c>
      <c r="G1" s="1" t="s">
        <v>39</v>
      </c>
      <c r="H1" s="1" t="s">
        <v>40</v>
      </c>
      <c r="I1" s="1" t="s">
        <v>367</v>
      </c>
      <c r="J1" s="1" t="s">
        <v>368</v>
      </c>
    </row>
    <row r="2" spans="1:10" x14ac:dyDescent="0.35">
      <c r="A2">
        <v>1</v>
      </c>
      <c r="B2" t="s">
        <v>9</v>
      </c>
      <c r="C2" t="s">
        <v>10</v>
      </c>
      <c r="D2" t="s">
        <v>182</v>
      </c>
      <c r="E2" t="s">
        <v>11</v>
      </c>
      <c r="F2" t="s">
        <v>11</v>
      </c>
      <c r="H2">
        <v>28.54</v>
      </c>
      <c r="I2" t="s">
        <v>187</v>
      </c>
      <c r="J2">
        <v>309.29899999999998</v>
      </c>
    </row>
    <row r="3" spans="1:10" x14ac:dyDescent="0.35">
      <c r="A3">
        <v>1</v>
      </c>
      <c r="B3" t="s">
        <v>9</v>
      </c>
      <c r="C3" t="s">
        <v>10</v>
      </c>
      <c r="D3" t="s">
        <v>183</v>
      </c>
      <c r="E3" t="s">
        <v>11</v>
      </c>
      <c r="F3" t="s">
        <v>11</v>
      </c>
      <c r="H3">
        <v>14.55</v>
      </c>
      <c r="I3" t="s">
        <v>188</v>
      </c>
      <c r="J3">
        <v>628.88900000000001</v>
      </c>
    </row>
    <row r="4" spans="1:10" x14ac:dyDescent="0.35">
      <c r="A4">
        <v>1</v>
      </c>
      <c r="B4" t="s">
        <v>9</v>
      </c>
      <c r="C4" t="s">
        <v>10</v>
      </c>
      <c r="D4" t="s">
        <v>184</v>
      </c>
      <c r="E4" t="s">
        <v>11</v>
      </c>
      <c r="F4" t="s">
        <v>11</v>
      </c>
      <c r="H4">
        <v>17.28</v>
      </c>
    </row>
    <row r="5" spans="1:10" x14ac:dyDescent="0.35">
      <c r="A5">
        <v>1</v>
      </c>
      <c r="B5" t="s">
        <v>9</v>
      </c>
      <c r="C5" t="s">
        <v>10</v>
      </c>
      <c r="D5" t="s">
        <v>185</v>
      </c>
      <c r="E5" t="s">
        <v>11</v>
      </c>
      <c r="F5" t="s">
        <v>11</v>
      </c>
      <c r="H5">
        <v>0</v>
      </c>
    </row>
    <row r="6" spans="1:10" x14ac:dyDescent="0.35">
      <c r="A6">
        <v>1</v>
      </c>
      <c r="B6" t="s">
        <v>9</v>
      </c>
      <c r="C6" t="s">
        <v>10</v>
      </c>
      <c r="D6" t="s">
        <v>186</v>
      </c>
      <c r="E6" t="s">
        <v>11</v>
      </c>
      <c r="F6" t="s">
        <v>11</v>
      </c>
      <c r="H6">
        <v>26.77</v>
      </c>
    </row>
    <row r="7" spans="1:10" x14ac:dyDescent="0.35">
      <c r="A7">
        <v>1</v>
      </c>
      <c r="B7" t="s">
        <v>9</v>
      </c>
      <c r="C7" t="s">
        <v>10</v>
      </c>
      <c r="D7" t="s">
        <v>187</v>
      </c>
      <c r="E7" t="s">
        <v>11</v>
      </c>
      <c r="F7" t="s">
        <v>11</v>
      </c>
      <c r="H7">
        <v>10.97</v>
      </c>
    </row>
    <row r="8" spans="1:10" x14ac:dyDescent="0.35">
      <c r="A8">
        <v>1</v>
      </c>
      <c r="B8" t="s">
        <v>9</v>
      </c>
      <c r="C8" t="s">
        <v>10</v>
      </c>
      <c r="D8" t="s">
        <v>188</v>
      </c>
      <c r="E8" t="s">
        <v>11</v>
      </c>
      <c r="F8" t="s">
        <v>11</v>
      </c>
      <c r="H8">
        <v>14.3</v>
      </c>
    </row>
    <row r="9" spans="1:10" x14ac:dyDescent="0.35">
      <c r="A9">
        <v>2</v>
      </c>
      <c r="B9" t="s">
        <v>12</v>
      </c>
      <c r="C9" t="s">
        <v>13</v>
      </c>
      <c r="D9" t="s">
        <v>189</v>
      </c>
      <c r="E9" t="s">
        <v>11</v>
      </c>
      <c r="F9" t="s">
        <v>219</v>
      </c>
      <c r="H9">
        <v>0</v>
      </c>
      <c r="I9" t="s">
        <v>243</v>
      </c>
      <c r="J9">
        <v>119067.48</v>
      </c>
    </row>
    <row r="10" spans="1:10" x14ac:dyDescent="0.35">
      <c r="A10">
        <v>2</v>
      </c>
      <c r="B10" t="s">
        <v>12</v>
      </c>
      <c r="C10" t="s">
        <v>13</v>
      </c>
      <c r="D10" t="s">
        <v>189</v>
      </c>
      <c r="E10" t="s">
        <v>11</v>
      </c>
      <c r="F10" t="s">
        <v>220</v>
      </c>
      <c r="H10">
        <v>29.4</v>
      </c>
      <c r="I10" t="s">
        <v>244</v>
      </c>
      <c r="J10">
        <v>696.64</v>
      </c>
    </row>
    <row r="11" spans="1:10" x14ac:dyDescent="0.35">
      <c r="A11">
        <v>2</v>
      </c>
      <c r="B11" t="s">
        <v>12</v>
      </c>
      <c r="C11" t="s">
        <v>13</v>
      </c>
      <c r="D11" t="s">
        <v>182</v>
      </c>
      <c r="E11" t="s">
        <v>11</v>
      </c>
      <c r="F11" t="s">
        <v>219</v>
      </c>
      <c r="H11">
        <v>33.200000000000003</v>
      </c>
    </row>
    <row r="12" spans="1:10" x14ac:dyDescent="0.35">
      <c r="A12">
        <v>2</v>
      </c>
      <c r="B12" t="s">
        <v>12</v>
      </c>
      <c r="C12" t="s">
        <v>13</v>
      </c>
      <c r="D12" t="s">
        <v>182</v>
      </c>
      <c r="E12" t="s">
        <v>11</v>
      </c>
      <c r="F12" t="s">
        <v>220</v>
      </c>
      <c r="H12">
        <v>32.909999999999997</v>
      </c>
    </row>
    <row r="13" spans="1:10" x14ac:dyDescent="0.35">
      <c r="A13">
        <v>2</v>
      </c>
      <c r="B13" t="s">
        <v>12</v>
      </c>
      <c r="C13" t="s">
        <v>13</v>
      </c>
      <c r="D13" t="s">
        <v>190</v>
      </c>
      <c r="E13" t="s">
        <v>11</v>
      </c>
      <c r="F13" t="s">
        <v>219</v>
      </c>
      <c r="H13">
        <v>11.34</v>
      </c>
    </row>
    <row r="14" spans="1:10" x14ac:dyDescent="0.35">
      <c r="A14">
        <v>2</v>
      </c>
      <c r="B14" t="s">
        <v>12</v>
      </c>
      <c r="C14" t="s">
        <v>13</v>
      </c>
      <c r="D14" t="s">
        <v>191</v>
      </c>
      <c r="E14" t="s">
        <v>11</v>
      </c>
      <c r="F14" t="s">
        <v>219</v>
      </c>
      <c r="H14">
        <v>19.61</v>
      </c>
    </row>
    <row r="15" spans="1:10" x14ac:dyDescent="0.35">
      <c r="A15">
        <v>3</v>
      </c>
      <c r="B15" t="s">
        <v>15</v>
      </c>
      <c r="C15" t="s">
        <v>16</v>
      </c>
      <c r="D15" t="s">
        <v>192</v>
      </c>
      <c r="E15" t="s">
        <v>11</v>
      </c>
      <c r="F15" t="s">
        <v>219</v>
      </c>
      <c r="H15">
        <v>16.53</v>
      </c>
      <c r="I15" t="s">
        <v>245</v>
      </c>
      <c r="J15">
        <v>1565.08</v>
      </c>
    </row>
    <row r="16" spans="1:10" x14ac:dyDescent="0.35">
      <c r="A16">
        <v>3</v>
      </c>
      <c r="B16" t="s">
        <v>15</v>
      </c>
      <c r="C16" t="s">
        <v>16</v>
      </c>
      <c r="D16" t="s">
        <v>193</v>
      </c>
      <c r="E16" t="s">
        <v>11</v>
      </c>
      <c r="F16" t="s">
        <v>220</v>
      </c>
      <c r="H16">
        <v>24.88</v>
      </c>
      <c r="I16" t="s">
        <v>246</v>
      </c>
      <c r="J16">
        <v>1595.49</v>
      </c>
    </row>
    <row r="17" spans="1:10" x14ac:dyDescent="0.35">
      <c r="A17">
        <v>3</v>
      </c>
      <c r="B17" t="s">
        <v>15</v>
      </c>
      <c r="C17" t="s">
        <v>16</v>
      </c>
      <c r="D17" t="s">
        <v>194</v>
      </c>
      <c r="E17" t="s">
        <v>11</v>
      </c>
      <c r="F17" t="s">
        <v>219</v>
      </c>
      <c r="H17">
        <v>33.869999999999997</v>
      </c>
      <c r="I17" t="s">
        <v>247</v>
      </c>
      <c r="J17">
        <v>3045.38</v>
      </c>
    </row>
    <row r="18" spans="1:10" x14ac:dyDescent="0.35">
      <c r="A18">
        <v>3</v>
      </c>
      <c r="B18" t="s">
        <v>15</v>
      </c>
      <c r="C18" t="s">
        <v>16</v>
      </c>
      <c r="D18" t="s">
        <v>195</v>
      </c>
      <c r="E18" t="s">
        <v>11</v>
      </c>
      <c r="F18" t="s">
        <v>220</v>
      </c>
      <c r="H18">
        <v>33.799999999999997</v>
      </c>
      <c r="I18" t="s">
        <v>248</v>
      </c>
      <c r="J18">
        <v>1.7</v>
      </c>
    </row>
    <row r="19" spans="1:10" x14ac:dyDescent="0.35">
      <c r="A19">
        <v>3</v>
      </c>
      <c r="B19" t="s">
        <v>15</v>
      </c>
      <c r="C19" t="s">
        <v>16</v>
      </c>
      <c r="D19" t="s">
        <v>196</v>
      </c>
      <c r="E19" t="s">
        <v>11</v>
      </c>
      <c r="F19" t="s">
        <v>219</v>
      </c>
      <c r="H19">
        <v>6.0830000000000002</v>
      </c>
      <c r="I19" t="s">
        <v>249</v>
      </c>
      <c r="J19">
        <v>15833.5</v>
      </c>
    </row>
    <row r="20" spans="1:10" x14ac:dyDescent="0.35">
      <c r="A20">
        <v>3</v>
      </c>
      <c r="B20" t="s">
        <v>15</v>
      </c>
      <c r="C20" t="s">
        <v>16</v>
      </c>
      <c r="E20" t="s">
        <v>11</v>
      </c>
      <c r="I20" t="s">
        <v>250</v>
      </c>
      <c r="J20">
        <v>1.07</v>
      </c>
    </row>
    <row r="21" spans="1:10" x14ac:dyDescent="0.35">
      <c r="A21">
        <v>4</v>
      </c>
      <c r="B21" t="s">
        <v>18</v>
      </c>
      <c r="C21" t="s">
        <v>19</v>
      </c>
      <c r="D21" t="s">
        <v>192</v>
      </c>
      <c r="E21" t="s">
        <v>11</v>
      </c>
      <c r="F21" t="s">
        <v>219</v>
      </c>
      <c r="H21">
        <v>19.66</v>
      </c>
      <c r="I21" t="s">
        <v>251</v>
      </c>
      <c r="J21">
        <v>429137.68300000002</v>
      </c>
    </row>
    <row r="22" spans="1:10" x14ac:dyDescent="0.35">
      <c r="A22">
        <v>4</v>
      </c>
      <c r="B22" t="s">
        <v>18</v>
      </c>
      <c r="C22" t="s">
        <v>19</v>
      </c>
      <c r="D22" t="s">
        <v>193</v>
      </c>
      <c r="E22" t="s">
        <v>11</v>
      </c>
      <c r="F22" t="s">
        <v>220</v>
      </c>
      <c r="H22" t="s">
        <v>242</v>
      </c>
      <c r="I22" t="s">
        <v>244</v>
      </c>
      <c r="J22">
        <v>3879.415</v>
      </c>
    </row>
    <row r="23" spans="1:10" x14ac:dyDescent="0.35">
      <c r="A23">
        <v>4</v>
      </c>
      <c r="B23" t="s">
        <v>18</v>
      </c>
      <c r="C23" t="s">
        <v>19</v>
      </c>
      <c r="D23" t="s">
        <v>182</v>
      </c>
      <c r="E23" t="s">
        <v>11</v>
      </c>
      <c r="F23" t="s">
        <v>221</v>
      </c>
      <c r="H23">
        <v>33.79</v>
      </c>
    </row>
    <row r="24" spans="1:10" x14ac:dyDescent="0.35">
      <c r="A24">
        <v>4</v>
      </c>
      <c r="B24" t="s">
        <v>18</v>
      </c>
      <c r="C24" t="s">
        <v>19</v>
      </c>
      <c r="D24" t="s">
        <v>197</v>
      </c>
      <c r="E24" t="s">
        <v>11</v>
      </c>
      <c r="F24" t="s">
        <v>219</v>
      </c>
      <c r="H24">
        <v>45.54</v>
      </c>
    </row>
    <row r="25" spans="1:10" x14ac:dyDescent="0.35">
      <c r="A25">
        <v>4</v>
      </c>
      <c r="B25" t="s">
        <v>18</v>
      </c>
      <c r="C25" t="s">
        <v>19</v>
      </c>
      <c r="D25" t="s">
        <v>198</v>
      </c>
      <c r="E25" t="s">
        <v>11</v>
      </c>
      <c r="F25" t="s">
        <v>219</v>
      </c>
      <c r="H25">
        <v>7.26</v>
      </c>
    </row>
    <row r="26" spans="1:10" x14ac:dyDescent="0.35">
      <c r="A26">
        <v>4</v>
      </c>
      <c r="B26" t="s">
        <v>18</v>
      </c>
      <c r="C26" t="s">
        <v>19</v>
      </c>
      <c r="D26" t="s">
        <v>190</v>
      </c>
      <c r="E26" t="s">
        <v>11</v>
      </c>
      <c r="H26">
        <v>13.3</v>
      </c>
    </row>
    <row r="27" spans="1:10" x14ac:dyDescent="0.35">
      <c r="A27">
        <v>5</v>
      </c>
      <c r="B27" t="s">
        <v>20</v>
      </c>
      <c r="C27" t="s">
        <v>21</v>
      </c>
      <c r="D27" t="s">
        <v>189</v>
      </c>
      <c r="E27">
        <v>447983</v>
      </c>
      <c r="F27" t="s">
        <v>222</v>
      </c>
      <c r="G27" t="s">
        <v>238</v>
      </c>
      <c r="H27">
        <v>19.809999999999999</v>
      </c>
      <c r="I27" t="s">
        <v>252</v>
      </c>
      <c r="J27">
        <v>0</v>
      </c>
    </row>
    <row r="28" spans="1:10" x14ac:dyDescent="0.35">
      <c r="A28">
        <v>5</v>
      </c>
      <c r="B28" t="s">
        <v>20</v>
      </c>
      <c r="C28" t="s">
        <v>21</v>
      </c>
      <c r="D28" t="s">
        <v>182</v>
      </c>
      <c r="E28">
        <v>141523</v>
      </c>
      <c r="F28" t="s">
        <v>223</v>
      </c>
      <c r="G28" t="s">
        <v>238</v>
      </c>
      <c r="H28">
        <v>33.630000000000003</v>
      </c>
      <c r="I28" t="s">
        <v>253</v>
      </c>
      <c r="J28">
        <v>0</v>
      </c>
    </row>
    <row r="29" spans="1:10" x14ac:dyDescent="0.35">
      <c r="A29">
        <v>5</v>
      </c>
      <c r="B29" t="s">
        <v>20</v>
      </c>
      <c r="C29" t="s">
        <v>21</v>
      </c>
      <c r="D29" t="s">
        <v>200</v>
      </c>
      <c r="E29">
        <v>6912</v>
      </c>
      <c r="F29" t="s">
        <v>224</v>
      </c>
      <c r="G29" t="s">
        <v>238</v>
      </c>
      <c r="H29">
        <v>5.36</v>
      </c>
      <c r="I29" t="s">
        <v>254</v>
      </c>
      <c r="J29">
        <v>27</v>
      </c>
    </row>
    <row r="30" spans="1:10" x14ac:dyDescent="0.35">
      <c r="A30">
        <v>5</v>
      </c>
      <c r="B30" t="s">
        <v>20</v>
      </c>
      <c r="C30" t="s">
        <v>21</v>
      </c>
      <c r="D30" t="s">
        <v>199</v>
      </c>
      <c r="E30">
        <v>58267</v>
      </c>
      <c r="F30" t="s">
        <v>41</v>
      </c>
      <c r="G30" t="s">
        <v>238</v>
      </c>
      <c r="H30">
        <v>10.45</v>
      </c>
      <c r="I30" t="s">
        <v>255</v>
      </c>
      <c r="J30">
        <v>0</v>
      </c>
    </row>
    <row r="31" spans="1:10" x14ac:dyDescent="0.35">
      <c r="A31">
        <v>5</v>
      </c>
      <c r="B31" t="s">
        <v>20</v>
      </c>
      <c r="C31" t="s">
        <v>21</v>
      </c>
      <c r="F31" t="s">
        <v>225</v>
      </c>
      <c r="G31" t="s">
        <v>238</v>
      </c>
      <c r="I31" t="s">
        <v>256</v>
      </c>
      <c r="J31">
        <v>6953</v>
      </c>
    </row>
    <row r="32" spans="1:10" x14ac:dyDescent="0.35">
      <c r="A32">
        <v>5</v>
      </c>
      <c r="B32" t="s">
        <v>20</v>
      </c>
      <c r="C32" t="s">
        <v>21</v>
      </c>
      <c r="F32" t="s">
        <v>42</v>
      </c>
    </row>
    <row r="33" spans="1:10" x14ac:dyDescent="0.35">
      <c r="A33">
        <v>5</v>
      </c>
      <c r="B33" t="s">
        <v>20</v>
      </c>
      <c r="C33" t="s">
        <v>21</v>
      </c>
      <c r="F33" t="s">
        <v>43</v>
      </c>
    </row>
    <row r="34" spans="1:10" x14ac:dyDescent="0.35">
      <c r="A34">
        <v>6</v>
      </c>
      <c r="B34" t="s">
        <v>22</v>
      </c>
      <c r="C34" t="s">
        <v>23</v>
      </c>
      <c r="D34" t="s">
        <v>189</v>
      </c>
      <c r="E34">
        <v>447983</v>
      </c>
      <c r="F34" t="s">
        <v>222</v>
      </c>
      <c r="G34" t="s">
        <v>238</v>
      </c>
      <c r="H34">
        <v>19.809999999999999</v>
      </c>
      <c r="I34" t="s">
        <v>252</v>
      </c>
      <c r="J34">
        <v>0</v>
      </c>
    </row>
    <row r="35" spans="1:10" x14ac:dyDescent="0.35">
      <c r="A35">
        <v>6</v>
      </c>
      <c r="B35" t="s">
        <v>22</v>
      </c>
      <c r="C35" t="s">
        <v>23</v>
      </c>
      <c r="D35" t="s">
        <v>182</v>
      </c>
      <c r="E35">
        <v>141523</v>
      </c>
      <c r="F35" t="s">
        <v>223</v>
      </c>
      <c r="G35" t="s">
        <v>238</v>
      </c>
      <c r="H35">
        <v>33.630000000000003</v>
      </c>
      <c r="I35" t="s">
        <v>253</v>
      </c>
      <c r="J35">
        <v>0</v>
      </c>
    </row>
    <row r="36" spans="1:10" x14ac:dyDescent="0.35">
      <c r="A36">
        <v>6</v>
      </c>
      <c r="B36" t="s">
        <v>22</v>
      </c>
      <c r="C36" t="s">
        <v>23</v>
      </c>
      <c r="D36" t="s">
        <v>200</v>
      </c>
      <c r="E36">
        <v>6912</v>
      </c>
      <c r="F36" t="s">
        <v>224</v>
      </c>
      <c r="G36" t="s">
        <v>238</v>
      </c>
      <c r="H36">
        <v>5.36</v>
      </c>
      <c r="I36" t="s">
        <v>254</v>
      </c>
      <c r="J36">
        <v>27</v>
      </c>
    </row>
    <row r="37" spans="1:10" x14ac:dyDescent="0.35">
      <c r="A37">
        <v>6</v>
      </c>
      <c r="B37" t="s">
        <v>22</v>
      </c>
      <c r="C37" t="s">
        <v>23</v>
      </c>
      <c r="D37" t="s">
        <v>199</v>
      </c>
      <c r="E37">
        <v>58267</v>
      </c>
      <c r="F37" t="s">
        <v>41</v>
      </c>
      <c r="G37" t="s">
        <v>238</v>
      </c>
      <c r="H37">
        <v>10.45</v>
      </c>
      <c r="I37" t="s">
        <v>255</v>
      </c>
      <c r="J37">
        <v>0</v>
      </c>
    </row>
    <row r="38" spans="1:10" x14ac:dyDescent="0.35">
      <c r="A38">
        <v>6</v>
      </c>
      <c r="B38" t="s">
        <v>22</v>
      </c>
      <c r="C38" t="s">
        <v>23</v>
      </c>
      <c r="F38" t="s">
        <v>225</v>
      </c>
      <c r="G38" t="s">
        <v>238</v>
      </c>
      <c r="I38" t="s">
        <v>256</v>
      </c>
      <c r="J38">
        <v>6953</v>
      </c>
    </row>
    <row r="39" spans="1:10" x14ac:dyDescent="0.35">
      <c r="A39">
        <v>6</v>
      </c>
      <c r="B39" t="s">
        <v>22</v>
      </c>
      <c r="C39" t="s">
        <v>23</v>
      </c>
      <c r="F39" t="s">
        <v>42</v>
      </c>
    </row>
    <row r="40" spans="1:10" x14ac:dyDescent="0.35">
      <c r="A40">
        <v>6</v>
      </c>
      <c r="B40" t="s">
        <v>22</v>
      </c>
      <c r="C40" t="s">
        <v>23</v>
      </c>
      <c r="F40" t="s">
        <v>43</v>
      </c>
    </row>
    <row r="41" spans="1:10" x14ac:dyDescent="0.35">
      <c r="A41">
        <v>7</v>
      </c>
      <c r="B41" t="s">
        <v>24</v>
      </c>
      <c r="C41" t="s">
        <v>25</v>
      </c>
      <c r="D41" t="s">
        <v>201</v>
      </c>
      <c r="F41" t="s">
        <v>226</v>
      </c>
      <c r="H41">
        <v>16.32</v>
      </c>
    </row>
    <row r="42" spans="1:10" x14ac:dyDescent="0.35">
      <c r="A42">
        <v>7</v>
      </c>
      <c r="B42" t="s">
        <v>24</v>
      </c>
      <c r="C42" t="s">
        <v>25</v>
      </c>
      <c r="D42" t="s">
        <v>202</v>
      </c>
      <c r="F42" t="s">
        <v>227</v>
      </c>
      <c r="H42">
        <v>29.84</v>
      </c>
    </row>
    <row r="43" spans="1:10" x14ac:dyDescent="0.35">
      <c r="A43">
        <v>7</v>
      </c>
      <c r="B43" t="s">
        <v>24</v>
      </c>
      <c r="C43" t="s">
        <v>25</v>
      </c>
      <c r="D43" t="s">
        <v>218</v>
      </c>
      <c r="F43" t="s">
        <v>228</v>
      </c>
      <c r="H43">
        <v>33.979999999999997</v>
      </c>
    </row>
    <row r="44" spans="1:10" x14ac:dyDescent="0.35">
      <c r="A44">
        <v>7</v>
      </c>
      <c r="B44" t="s">
        <v>24</v>
      </c>
      <c r="C44" t="s">
        <v>25</v>
      </c>
      <c r="D44" t="s">
        <v>203</v>
      </c>
      <c r="F44" t="s">
        <v>229</v>
      </c>
      <c r="H44">
        <v>34.07</v>
      </c>
    </row>
    <row r="45" spans="1:10" x14ac:dyDescent="0.35">
      <c r="A45">
        <v>8</v>
      </c>
      <c r="B45" t="s">
        <v>27</v>
      </c>
      <c r="C45" t="s">
        <v>28</v>
      </c>
      <c r="D45" t="s">
        <v>204</v>
      </c>
      <c r="F45" t="s">
        <v>230</v>
      </c>
      <c r="G45" t="s">
        <v>238</v>
      </c>
      <c r="H45">
        <v>18.829999999999998</v>
      </c>
      <c r="I45" t="s">
        <v>257</v>
      </c>
      <c r="J45">
        <v>31.81</v>
      </c>
    </row>
    <row r="46" spans="1:10" x14ac:dyDescent="0.35">
      <c r="A46">
        <v>8</v>
      </c>
      <c r="B46" t="s">
        <v>27</v>
      </c>
      <c r="C46" t="s">
        <v>28</v>
      </c>
      <c r="D46" t="s">
        <v>202</v>
      </c>
      <c r="F46" t="s">
        <v>44</v>
      </c>
      <c r="G46" t="s">
        <v>239</v>
      </c>
      <c r="H46">
        <v>28.96</v>
      </c>
      <c r="I46" t="s">
        <v>258</v>
      </c>
      <c r="J46">
        <v>1002.58</v>
      </c>
    </row>
    <row r="47" spans="1:10" x14ac:dyDescent="0.35">
      <c r="A47">
        <v>8</v>
      </c>
      <c r="B47" t="s">
        <v>27</v>
      </c>
      <c r="C47" t="s">
        <v>28</v>
      </c>
      <c r="D47" t="s">
        <v>205</v>
      </c>
      <c r="F47" t="s">
        <v>231</v>
      </c>
      <c r="G47" t="s">
        <v>238</v>
      </c>
      <c r="H47">
        <v>32.340000000000003</v>
      </c>
    </row>
    <row r="48" spans="1:10" x14ac:dyDescent="0.35">
      <c r="A48">
        <v>8</v>
      </c>
      <c r="B48" t="s">
        <v>27</v>
      </c>
      <c r="C48" t="s">
        <v>28</v>
      </c>
      <c r="D48" t="s">
        <v>206</v>
      </c>
      <c r="F48" t="s">
        <v>232</v>
      </c>
      <c r="G48" t="s">
        <v>240</v>
      </c>
      <c r="H48">
        <v>32.17</v>
      </c>
    </row>
    <row r="49" spans="1:10" x14ac:dyDescent="0.35">
      <c r="A49">
        <v>8</v>
      </c>
      <c r="B49" t="s">
        <v>27</v>
      </c>
      <c r="C49" t="s">
        <v>28</v>
      </c>
      <c r="D49" t="s">
        <v>190</v>
      </c>
      <c r="F49" t="s">
        <v>233</v>
      </c>
      <c r="G49" t="s">
        <v>238</v>
      </c>
      <c r="H49" t="s">
        <v>159</v>
      </c>
    </row>
    <row r="50" spans="1:10" x14ac:dyDescent="0.35">
      <c r="A50">
        <v>8</v>
      </c>
      <c r="B50" t="s">
        <v>27</v>
      </c>
      <c r="C50" t="s">
        <v>28</v>
      </c>
      <c r="D50" t="s">
        <v>191</v>
      </c>
      <c r="F50" t="s">
        <v>219</v>
      </c>
      <c r="G50" t="s">
        <v>238</v>
      </c>
      <c r="H50">
        <v>12.63</v>
      </c>
    </row>
    <row r="51" spans="1:10" x14ac:dyDescent="0.35">
      <c r="A51">
        <v>8</v>
      </c>
      <c r="B51" t="s">
        <v>27</v>
      </c>
      <c r="C51" t="s">
        <v>28</v>
      </c>
      <c r="F51" t="s">
        <v>219</v>
      </c>
    </row>
    <row r="52" spans="1:10" x14ac:dyDescent="0.35">
      <c r="A52">
        <v>9</v>
      </c>
      <c r="B52" t="s">
        <v>30</v>
      </c>
      <c r="C52" t="s">
        <v>31</v>
      </c>
      <c r="D52" t="s">
        <v>204</v>
      </c>
      <c r="F52" t="s">
        <v>159</v>
      </c>
      <c r="G52" t="s">
        <v>238</v>
      </c>
      <c r="H52">
        <v>0</v>
      </c>
      <c r="I52" t="s">
        <v>243</v>
      </c>
      <c r="J52">
        <v>118436.842</v>
      </c>
    </row>
    <row r="53" spans="1:10" x14ac:dyDescent="0.35">
      <c r="A53">
        <v>9</v>
      </c>
      <c r="B53" t="s">
        <v>30</v>
      </c>
      <c r="C53" t="s">
        <v>31</v>
      </c>
      <c r="D53" t="s">
        <v>202</v>
      </c>
      <c r="F53" t="s">
        <v>159</v>
      </c>
      <c r="G53" t="s">
        <v>231</v>
      </c>
      <c r="H53">
        <v>31.21</v>
      </c>
      <c r="I53" t="s">
        <v>244</v>
      </c>
      <c r="J53">
        <v>15001.73</v>
      </c>
    </row>
    <row r="54" spans="1:10" x14ac:dyDescent="0.35">
      <c r="A54">
        <v>9</v>
      </c>
      <c r="B54" t="s">
        <v>30</v>
      </c>
      <c r="C54" t="s">
        <v>31</v>
      </c>
      <c r="D54" t="s">
        <v>205</v>
      </c>
      <c r="F54" t="s">
        <v>234</v>
      </c>
      <c r="G54" t="s">
        <v>238</v>
      </c>
      <c r="H54">
        <v>0</v>
      </c>
    </row>
    <row r="55" spans="1:10" x14ac:dyDescent="0.35">
      <c r="A55">
        <v>9</v>
      </c>
      <c r="B55" t="s">
        <v>30</v>
      </c>
      <c r="C55" t="s">
        <v>31</v>
      </c>
      <c r="D55" t="s">
        <v>206</v>
      </c>
      <c r="F55" t="s">
        <v>159</v>
      </c>
      <c r="G55" t="s">
        <v>241</v>
      </c>
      <c r="H55">
        <v>34.06</v>
      </c>
    </row>
    <row r="56" spans="1:10" x14ac:dyDescent="0.35">
      <c r="A56">
        <v>9</v>
      </c>
      <c r="B56" t="s">
        <v>30</v>
      </c>
      <c r="C56" t="s">
        <v>31</v>
      </c>
      <c r="D56" t="s">
        <v>190</v>
      </c>
      <c r="F56" t="s">
        <v>159</v>
      </c>
      <c r="G56" t="s">
        <v>238</v>
      </c>
      <c r="H56">
        <v>17.149999999999999</v>
      </c>
    </row>
    <row r="57" spans="1:10" x14ac:dyDescent="0.35">
      <c r="A57">
        <v>9</v>
      </c>
      <c r="B57" t="s">
        <v>30</v>
      </c>
      <c r="C57" t="s">
        <v>31</v>
      </c>
      <c r="D57" t="s">
        <v>191</v>
      </c>
      <c r="F57" t="s">
        <v>159</v>
      </c>
      <c r="G57" t="s">
        <v>238</v>
      </c>
      <c r="H57">
        <v>16.8</v>
      </c>
    </row>
    <row r="58" spans="1:10" x14ac:dyDescent="0.35">
      <c r="A58">
        <v>10</v>
      </c>
      <c r="B58" t="s">
        <v>32</v>
      </c>
      <c r="C58" t="s">
        <v>33</v>
      </c>
      <c r="D58" t="s">
        <v>189</v>
      </c>
      <c r="E58">
        <v>174964.56</v>
      </c>
      <c r="F58" t="s">
        <v>235</v>
      </c>
      <c r="G58" t="s">
        <v>238</v>
      </c>
      <c r="H58">
        <v>4909</v>
      </c>
      <c r="I58" t="s">
        <v>259</v>
      </c>
      <c r="J58">
        <v>31811.24</v>
      </c>
    </row>
    <row r="59" spans="1:10" x14ac:dyDescent="0.35">
      <c r="A59">
        <v>10</v>
      </c>
      <c r="B59" t="s">
        <v>32</v>
      </c>
      <c r="C59" t="s">
        <v>33</v>
      </c>
      <c r="D59" t="s">
        <v>182</v>
      </c>
      <c r="E59">
        <v>167502.22</v>
      </c>
      <c r="F59" t="s">
        <v>236</v>
      </c>
      <c r="G59" t="s">
        <v>238</v>
      </c>
      <c r="I59" t="s">
        <v>260</v>
      </c>
      <c r="J59">
        <v>27776.46</v>
      </c>
    </row>
    <row r="60" spans="1:10" x14ac:dyDescent="0.35">
      <c r="A60">
        <v>12</v>
      </c>
      <c r="B60" t="s">
        <v>35</v>
      </c>
      <c r="C60" t="s">
        <v>36</v>
      </c>
      <c r="D60" t="s">
        <v>189</v>
      </c>
      <c r="E60">
        <v>332248</v>
      </c>
      <c r="F60" t="s">
        <v>237</v>
      </c>
      <c r="G60" t="s">
        <v>238</v>
      </c>
      <c r="H60">
        <v>4762.2</v>
      </c>
      <c r="I60" t="s">
        <v>207</v>
      </c>
      <c r="J60">
        <v>2698</v>
      </c>
    </row>
    <row r="61" spans="1:10" x14ac:dyDescent="0.35">
      <c r="A61">
        <v>12</v>
      </c>
      <c r="B61" t="s">
        <v>35</v>
      </c>
      <c r="C61" t="s">
        <v>36</v>
      </c>
      <c r="D61" t="s">
        <v>182</v>
      </c>
      <c r="E61">
        <v>72140</v>
      </c>
      <c r="G61" t="s">
        <v>238</v>
      </c>
      <c r="H61">
        <v>8077.3</v>
      </c>
      <c r="I61" t="s">
        <v>208</v>
      </c>
      <c r="J61">
        <v>7</v>
      </c>
    </row>
    <row r="62" spans="1:10" x14ac:dyDescent="0.35">
      <c r="A62">
        <v>12</v>
      </c>
      <c r="B62" t="s">
        <v>35</v>
      </c>
      <c r="C62" t="s">
        <v>36</v>
      </c>
      <c r="D62" t="s">
        <v>207</v>
      </c>
      <c r="E62">
        <v>2698</v>
      </c>
      <c r="G62" t="s">
        <v>238</v>
      </c>
      <c r="H62">
        <v>3073.14</v>
      </c>
      <c r="I62" t="s">
        <v>209</v>
      </c>
      <c r="J62">
        <v>1553</v>
      </c>
    </row>
    <row r="63" spans="1:10" x14ac:dyDescent="0.35">
      <c r="A63">
        <v>12</v>
      </c>
      <c r="B63" t="s">
        <v>35</v>
      </c>
      <c r="C63" t="s">
        <v>36</v>
      </c>
      <c r="D63" t="s">
        <v>208</v>
      </c>
      <c r="E63">
        <v>7</v>
      </c>
      <c r="G63" t="s">
        <v>238</v>
      </c>
      <c r="H63">
        <v>3274</v>
      </c>
      <c r="I63" t="s">
        <v>210</v>
      </c>
      <c r="J63">
        <v>401</v>
      </c>
    </row>
    <row r="64" spans="1:10" x14ac:dyDescent="0.35">
      <c r="A64">
        <v>12</v>
      </c>
      <c r="B64" t="s">
        <v>35</v>
      </c>
      <c r="C64" t="s">
        <v>36</v>
      </c>
      <c r="D64" t="s">
        <v>209</v>
      </c>
      <c r="E64">
        <v>1553</v>
      </c>
      <c r="G64" t="s">
        <v>238</v>
      </c>
      <c r="H64">
        <v>2721.18</v>
      </c>
      <c r="I64" t="s">
        <v>261</v>
      </c>
      <c r="J64">
        <v>144</v>
      </c>
    </row>
    <row r="65" spans="1:11" x14ac:dyDescent="0.35">
      <c r="A65">
        <v>12</v>
      </c>
      <c r="B65" t="s">
        <v>35</v>
      </c>
      <c r="C65" t="s">
        <v>36</v>
      </c>
      <c r="D65" t="s">
        <v>210</v>
      </c>
      <c r="E65">
        <v>401</v>
      </c>
      <c r="G65" t="s">
        <v>238</v>
      </c>
      <c r="H65">
        <v>4153</v>
      </c>
      <c r="I65" t="s">
        <v>262</v>
      </c>
      <c r="J65">
        <v>22</v>
      </c>
    </row>
    <row r="66" spans="1:11" x14ac:dyDescent="0.35">
      <c r="A66">
        <v>12</v>
      </c>
      <c r="B66" t="s">
        <v>35</v>
      </c>
      <c r="C66" t="s">
        <v>36</v>
      </c>
      <c r="D66" t="s">
        <v>211</v>
      </c>
      <c r="E66">
        <v>144</v>
      </c>
      <c r="G66" t="s">
        <v>238</v>
      </c>
      <c r="H66">
        <v>3167</v>
      </c>
      <c r="I66" t="s">
        <v>263</v>
      </c>
      <c r="J66">
        <v>5529</v>
      </c>
    </row>
    <row r="67" spans="1:11" x14ac:dyDescent="0.35">
      <c r="A67">
        <v>12</v>
      </c>
      <c r="B67" t="s">
        <v>35</v>
      </c>
      <c r="C67" t="s">
        <v>36</v>
      </c>
      <c r="D67" t="s">
        <v>212</v>
      </c>
      <c r="E67">
        <v>22</v>
      </c>
      <c r="G67" t="s">
        <v>238</v>
      </c>
      <c r="H67">
        <v>5060</v>
      </c>
      <c r="I67" t="s">
        <v>214</v>
      </c>
      <c r="J67">
        <v>11023</v>
      </c>
    </row>
    <row r="68" spans="1:11" x14ac:dyDescent="0.35">
      <c r="A68">
        <v>12</v>
      </c>
      <c r="B68" t="s">
        <v>35</v>
      </c>
      <c r="C68" t="s">
        <v>36</v>
      </c>
      <c r="D68" t="s">
        <v>213</v>
      </c>
      <c r="E68">
        <v>5529</v>
      </c>
      <c r="G68" t="s">
        <v>238</v>
      </c>
      <c r="H68">
        <v>2900</v>
      </c>
      <c r="I68" t="s">
        <v>264</v>
      </c>
      <c r="J68">
        <v>6653</v>
      </c>
    </row>
    <row r="69" spans="1:11" x14ac:dyDescent="0.35">
      <c r="A69">
        <v>12</v>
      </c>
      <c r="B69" t="s">
        <v>35</v>
      </c>
      <c r="C69" t="s">
        <v>36</v>
      </c>
      <c r="D69" t="s">
        <v>214</v>
      </c>
      <c r="E69">
        <v>11023</v>
      </c>
      <c r="G69" t="s">
        <v>238</v>
      </c>
      <c r="H69">
        <v>3262.75</v>
      </c>
      <c r="I69" t="s">
        <v>265</v>
      </c>
      <c r="J69">
        <v>297</v>
      </c>
    </row>
    <row r="70" spans="1:11" x14ac:dyDescent="0.35">
      <c r="A70">
        <v>12</v>
      </c>
      <c r="B70" t="s">
        <v>35</v>
      </c>
      <c r="C70" t="s">
        <v>36</v>
      </c>
      <c r="D70" t="s">
        <v>198</v>
      </c>
      <c r="E70">
        <v>6653</v>
      </c>
      <c r="G70" t="s">
        <v>238</v>
      </c>
      <c r="H70">
        <v>2549.83</v>
      </c>
      <c r="I70" t="s">
        <v>266</v>
      </c>
      <c r="J70">
        <v>87</v>
      </c>
    </row>
    <row r="71" spans="1:11" x14ac:dyDescent="0.35">
      <c r="A71">
        <v>12</v>
      </c>
      <c r="B71" t="s">
        <v>35</v>
      </c>
      <c r="C71" t="s">
        <v>36</v>
      </c>
      <c r="D71" t="s">
        <v>215</v>
      </c>
      <c r="E71">
        <v>297</v>
      </c>
      <c r="G71" t="s">
        <v>238</v>
      </c>
      <c r="H71">
        <v>4712</v>
      </c>
      <c r="I71" t="s">
        <v>267</v>
      </c>
      <c r="J71">
        <v>200</v>
      </c>
    </row>
    <row r="72" spans="1:11" x14ac:dyDescent="0.35">
      <c r="A72">
        <v>12</v>
      </c>
      <c r="B72" t="s">
        <v>35</v>
      </c>
      <c r="C72" t="s">
        <v>36</v>
      </c>
      <c r="D72" t="s">
        <v>216</v>
      </c>
      <c r="E72">
        <v>87</v>
      </c>
      <c r="G72" t="s">
        <v>238</v>
      </c>
      <c r="H72">
        <v>4265</v>
      </c>
    </row>
    <row r="73" spans="1:11" x14ac:dyDescent="0.35">
      <c r="A73">
        <v>12</v>
      </c>
      <c r="B73" t="s">
        <v>35</v>
      </c>
      <c r="C73" t="s">
        <v>36</v>
      </c>
      <c r="D73" t="s">
        <v>217</v>
      </c>
      <c r="E73">
        <v>200</v>
      </c>
      <c r="G73" t="s">
        <v>238</v>
      </c>
      <c r="H73">
        <v>3490</v>
      </c>
    </row>
    <row r="75" spans="1:11" ht="15" thickBot="1" x14ac:dyDescent="0.4"/>
    <row r="76" spans="1:11" s="39" customFormat="1" ht="15" thickBot="1" x14ac:dyDescent="0.4">
      <c r="H76" s="91"/>
      <c r="I76" s="49" t="s">
        <v>367</v>
      </c>
    </row>
    <row r="77" spans="1:11" x14ac:dyDescent="0.35">
      <c r="A77" s="54" t="s">
        <v>2</v>
      </c>
      <c r="B77" s="10" t="s">
        <v>38</v>
      </c>
      <c r="C77" s="10" t="s">
        <v>39</v>
      </c>
      <c r="D77" s="10" t="s">
        <v>37</v>
      </c>
      <c r="E77" s="10" t="s">
        <v>366</v>
      </c>
      <c r="F77" s="10" t="s">
        <v>40</v>
      </c>
      <c r="G77" s="10" t="s">
        <v>367</v>
      </c>
      <c r="H77" s="55" t="s">
        <v>368</v>
      </c>
      <c r="I77" s="46" t="s">
        <v>369</v>
      </c>
      <c r="J77" s="42" t="s">
        <v>370</v>
      </c>
      <c r="K77" s="43" t="s">
        <v>371</v>
      </c>
    </row>
    <row r="78" spans="1:11" x14ac:dyDescent="0.35">
      <c r="A78" s="84" t="s">
        <v>10</v>
      </c>
      <c r="B78" s="85" t="s">
        <v>11</v>
      </c>
      <c r="C78" s="85"/>
      <c r="D78" s="85" t="s">
        <v>182</v>
      </c>
      <c r="E78" s="85" t="s">
        <v>11</v>
      </c>
      <c r="F78" s="85">
        <v>28.54</v>
      </c>
      <c r="G78" s="85" t="s">
        <v>187</v>
      </c>
      <c r="H78" s="87">
        <v>309.29899999999998</v>
      </c>
      <c r="I78" s="47" t="s">
        <v>189</v>
      </c>
      <c r="J78" s="52" t="s">
        <v>372</v>
      </c>
      <c r="K78" s="50" t="s">
        <v>373</v>
      </c>
    </row>
    <row r="79" spans="1:11" x14ac:dyDescent="0.35">
      <c r="A79" s="84" t="s">
        <v>10</v>
      </c>
      <c r="B79" s="85" t="s">
        <v>11</v>
      </c>
      <c r="C79" s="85"/>
      <c r="D79" s="85" t="s">
        <v>183</v>
      </c>
      <c r="E79" s="85" t="s">
        <v>11</v>
      </c>
      <c r="F79" s="85">
        <v>14.55</v>
      </c>
      <c r="G79" s="85" t="s">
        <v>188</v>
      </c>
      <c r="H79" s="87">
        <v>628.88900000000001</v>
      </c>
      <c r="I79" s="47" t="s">
        <v>182</v>
      </c>
      <c r="J79" s="52" t="s">
        <v>374</v>
      </c>
      <c r="K79" s="50" t="s">
        <v>373</v>
      </c>
    </row>
    <row r="80" spans="1:11" x14ac:dyDescent="0.35">
      <c r="A80" s="84" t="s">
        <v>10</v>
      </c>
      <c r="B80" s="85" t="s">
        <v>11</v>
      </c>
      <c r="C80" s="85"/>
      <c r="D80" s="85" t="s">
        <v>184</v>
      </c>
      <c r="E80" s="85" t="s">
        <v>11</v>
      </c>
      <c r="F80" s="85">
        <v>17.28</v>
      </c>
      <c r="G80" s="85"/>
      <c r="H80" s="87"/>
      <c r="I80" s="47" t="s">
        <v>190</v>
      </c>
      <c r="J80" s="52" t="s">
        <v>375</v>
      </c>
      <c r="K80" s="50" t="s">
        <v>376</v>
      </c>
    </row>
    <row r="81" spans="1:13" x14ac:dyDescent="0.35">
      <c r="A81" s="84" t="s">
        <v>10</v>
      </c>
      <c r="B81" s="85" t="s">
        <v>11</v>
      </c>
      <c r="C81" s="85"/>
      <c r="D81" s="85" t="s">
        <v>185</v>
      </c>
      <c r="E81" s="85" t="s">
        <v>11</v>
      </c>
      <c r="F81" s="85">
        <v>0</v>
      </c>
      <c r="G81" s="85"/>
      <c r="H81" s="87"/>
      <c r="I81" s="47" t="s">
        <v>377</v>
      </c>
      <c r="J81" s="52" t="s">
        <v>378</v>
      </c>
      <c r="K81" s="50" t="s">
        <v>376</v>
      </c>
    </row>
    <row r="82" spans="1:13" x14ac:dyDescent="0.35">
      <c r="A82" s="84" t="s">
        <v>10</v>
      </c>
      <c r="B82" s="85" t="s">
        <v>11</v>
      </c>
      <c r="C82" s="85"/>
      <c r="D82" s="85" t="s">
        <v>186</v>
      </c>
      <c r="E82" s="85" t="s">
        <v>11</v>
      </c>
      <c r="F82" s="85">
        <v>26.77</v>
      </c>
      <c r="G82" s="85"/>
      <c r="H82" s="87"/>
      <c r="I82" s="47" t="s">
        <v>379</v>
      </c>
      <c r="J82" s="52" t="s">
        <v>380</v>
      </c>
      <c r="K82" s="50" t="s">
        <v>381</v>
      </c>
    </row>
    <row r="83" spans="1:13" x14ac:dyDescent="0.35">
      <c r="A83" s="84" t="s">
        <v>10</v>
      </c>
      <c r="B83" s="85" t="s">
        <v>11</v>
      </c>
      <c r="C83" s="85"/>
      <c r="D83" s="85" t="s">
        <v>187</v>
      </c>
      <c r="E83" s="85" t="s">
        <v>11</v>
      </c>
      <c r="F83" s="85">
        <v>10.97</v>
      </c>
      <c r="G83" s="85"/>
      <c r="H83" s="87"/>
      <c r="I83" s="47" t="s">
        <v>382</v>
      </c>
      <c r="J83" s="52" t="s">
        <v>383</v>
      </c>
      <c r="K83" s="50" t="s">
        <v>384</v>
      </c>
    </row>
    <row r="84" spans="1:13" x14ac:dyDescent="0.35">
      <c r="A84" s="84" t="s">
        <v>10</v>
      </c>
      <c r="B84" s="85" t="s">
        <v>11</v>
      </c>
      <c r="C84" s="85"/>
      <c r="D84" s="85" t="s">
        <v>188</v>
      </c>
      <c r="E84" s="85" t="s">
        <v>11</v>
      </c>
      <c r="F84" s="85">
        <v>14.3</v>
      </c>
      <c r="G84" s="85"/>
      <c r="H84" s="87"/>
      <c r="I84" s="47" t="s">
        <v>385</v>
      </c>
      <c r="J84" s="52" t="s">
        <v>386</v>
      </c>
      <c r="K84" s="50" t="s">
        <v>387</v>
      </c>
    </row>
    <row r="85" spans="1:13" x14ac:dyDescent="0.35">
      <c r="A85" s="84" t="s">
        <v>13</v>
      </c>
      <c r="B85" s="85" t="s">
        <v>219</v>
      </c>
      <c r="C85" s="85"/>
      <c r="D85" s="85" t="s">
        <v>189</v>
      </c>
      <c r="E85" s="85" t="s">
        <v>11</v>
      </c>
      <c r="F85" s="85">
        <v>0</v>
      </c>
      <c r="G85" s="85" t="s">
        <v>243</v>
      </c>
      <c r="H85" s="87">
        <v>119067.48</v>
      </c>
      <c r="I85" s="47" t="s">
        <v>388</v>
      </c>
      <c r="J85" s="52" t="s">
        <v>197</v>
      </c>
      <c r="K85" s="50" t="s">
        <v>19</v>
      </c>
    </row>
    <row r="86" spans="1:13" ht="15" thickBot="1" x14ac:dyDescent="0.4">
      <c r="A86" s="84" t="s">
        <v>13</v>
      </c>
      <c r="B86" s="85" t="s">
        <v>220</v>
      </c>
      <c r="C86" s="85"/>
      <c r="D86" s="85" t="s">
        <v>189</v>
      </c>
      <c r="E86" s="85" t="s">
        <v>11</v>
      </c>
      <c r="F86" s="85">
        <v>29.4</v>
      </c>
      <c r="G86" s="85" t="s">
        <v>244</v>
      </c>
      <c r="H86" s="87">
        <v>696.64</v>
      </c>
      <c r="I86" s="48" t="s">
        <v>389</v>
      </c>
      <c r="J86" s="53" t="s">
        <v>185</v>
      </c>
      <c r="K86" s="51" t="s">
        <v>10</v>
      </c>
    </row>
    <row r="87" spans="1:13" x14ac:dyDescent="0.35">
      <c r="A87" s="84" t="s">
        <v>13</v>
      </c>
      <c r="B87" s="85" t="s">
        <v>219</v>
      </c>
      <c r="C87" s="85"/>
      <c r="D87" s="85" t="s">
        <v>182</v>
      </c>
      <c r="E87" s="85" t="s">
        <v>11</v>
      </c>
      <c r="F87" s="85">
        <v>33.200000000000003</v>
      </c>
      <c r="G87" s="85"/>
      <c r="H87" s="87"/>
    </row>
    <row r="88" spans="1:13" x14ac:dyDescent="0.35">
      <c r="A88" s="84" t="s">
        <v>13</v>
      </c>
      <c r="B88" s="85" t="s">
        <v>220</v>
      </c>
      <c r="C88" s="85"/>
      <c r="D88" s="85" t="s">
        <v>182</v>
      </c>
      <c r="E88" s="85" t="s">
        <v>11</v>
      </c>
      <c r="F88" s="85">
        <v>32.909999999999997</v>
      </c>
      <c r="G88" s="85"/>
      <c r="H88" s="87"/>
    </row>
    <row r="89" spans="1:13" ht="29" x14ac:dyDescent="0.35">
      <c r="A89" s="84" t="s">
        <v>13</v>
      </c>
      <c r="B89" s="85" t="s">
        <v>219</v>
      </c>
      <c r="C89" s="85"/>
      <c r="D89" s="85" t="s">
        <v>190</v>
      </c>
      <c r="E89" s="85" t="s">
        <v>11</v>
      </c>
      <c r="F89" s="85">
        <v>11.34</v>
      </c>
      <c r="G89" s="85"/>
      <c r="H89" s="87"/>
      <c r="I89" s="38" t="s">
        <v>390</v>
      </c>
      <c r="J89" s="57" t="s">
        <v>406</v>
      </c>
      <c r="K89" s="57" t="s">
        <v>407</v>
      </c>
      <c r="L89" s="57" t="s">
        <v>408</v>
      </c>
      <c r="M89" s="57" t="s">
        <v>409</v>
      </c>
    </row>
    <row r="90" spans="1:13" x14ac:dyDescent="0.35">
      <c r="A90" s="84" t="s">
        <v>13</v>
      </c>
      <c r="B90" s="85" t="s">
        <v>219</v>
      </c>
      <c r="C90" s="85"/>
      <c r="D90" s="85" t="s">
        <v>191</v>
      </c>
      <c r="E90" s="85" t="s">
        <v>11</v>
      </c>
      <c r="F90" s="85">
        <v>19.61</v>
      </c>
      <c r="G90" s="85"/>
      <c r="H90" s="87"/>
      <c r="I90" s="34" t="s">
        <v>10</v>
      </c>
      <c r="J90" s="56">
        <v>4</v>
      </c>
      <c r="K90" s="56">
        <v>1</v>
      </c>
      <c r="L90" s="56">
        <v>80</v>
      </c>
      <c r="M90" s="56">
        <v>20</v>
      </c>
    </row>
    <row r="91" spans="1:13" x14ac:dyDescent="0.35">
      <c r="A91" s="84" t="s">
        <v>16</v>
      </c>
      <c r="B91" s="85" t="s">
        <v>219</v>
      </c>
      <c r="C91" s="85"/>
      <c r="D91" s="85" t="s">
        <v>192</v>
      </c>
      <c r="E91" s="85" t="s">
        <v>11</v>
      </c>
      <c r="F91" s="85">
        <v>16.53</v>
      </c>
      <c r="G91" s="85" t="s">
        <v>245</v>
      </c>
      <c r="H91" s="87">
        <v>1565.08</v>
      </c>
      <c r="I91" s="34" t="s">
        <v>13</v>
      </c>
      <c r="J91" s="56">
        <v>4</v>
      </c>
      <c r="K91" s="56">
        <v>2</v>
      </c>
      <c r="L91" s="56">
        <v>66.7</v>
      </c>
      <c r="M91" s="56">
        <v>33.299999999999997</v>
      </c>
    </row>
    <row r="92" spans="1:13" x14ac:dyDescent="0.35">
      <c r="A92" s="84" t="s">
        <v>16</v>
      </c>
      <c r="B92" s="85" t="s">
        <v>220</v>
      </c>
      <c r="C92" s="85"/>
      <c r="D92" s="85" t="s">
        <v>193</v>
      </c>
      <c r="E92" s="85" t="s">
        <v>11</v>
      </c>
      <c r="F92" s="85">
        <v>24.88</v>
      </c>
      <c r="G92" s="85" t="s">
        <v>246</v>
      </c>
      <c r="H92" s="87">
        <v>1595.49</v>
      </c>
      <c r="I92" s="34" t="s">
        <v>16</v>
      </c>
      <c r="J92" s="56">
        <v>3</v>
      </c>
      <c r="K92" s="56">
        <v>2</v>
      </c>
      <c r="L92" s="56">
        <v>60</v>
      </c>
      <c r="M92" s="56">
        <v>40</v>
      </c>
    </row>
    <row r="93" spans="1:13" x14ac:dyDescent="0.35">
      <c r="A93" s="84" t="s">
        <v>16</v>
      </c>
      <c r="B93" s="85" t="s">
        <v>219</v>
      </c>
      <c r="C93" s="85"/>
      <c r="D93" s="85" t="s">
        <v>194</v>
      </c>
      <c r="E93" s="85" t="s">
        <v>11</v>
      </c>
      <c r="F93" s="85">
        <v>33.869999999999997</v>
      </c>
      <c r="G93" s="85" t="s">
        <v>247</v>
      </c>
      <c r="H93" s="87">
        <v>3045.38</v>
      </c>
      <c r="I93" s="34" t="s">
        <v>19</v>
      </c>
      <c r="J93" s="56">
        <v>4.5</v>
      </c>
      <c r="K93" s="56">
        <v>1.5</v>
      </c>
      <c r="L93" s="56">
        <v>75</v>
      </c>
      <c r="M93" s="56">
        <v>25</v>
      </c>
    </row>
    <row r="94" spans="1:13" x14ac:dyDescent="0.35">
      <c r="A94" s="84" t="s">
        <v>16</v>
      </c>
      <c r="B94" s="85" t="s">
        <v>220</v>
      </c>
      <c r="C94" s="85"/>
      <c r="D94" s="85" t="s">
        <v>195</v>
      </c>
      <c r="E94" s="85" t="s">
        <v>11</v>
      </c>
      <c r="F94" s="85">
        <v>33.799999999999997</v>
      </c>
      <c r="G94" s="85" t="s">
        <v>248</v>
      </c>
      <c r="H94" s="87">
        <v>1.7</v>
      </c>
      <c r="I94" s="34" t="s">
        <v>25</v>
      </c>
      <c r="J94" s="56">
        <v>2</v>
      </c>
      <c r="K94" s="56">
        <v>2</v>
      </c>
      <c r="L94" s="56">
        <v>50</v>
      </c>
      <c r="M94" s="56">
        <v>50</v>
      </c>
    </row>
    <row r="95" spans="1:13" x14ac:dyDescent="0.35">
      <c r="A95" s="84" t="s">
        <v>16</v>
      </c>
      <c r="B95" s="85" t="s">
        <v>219</v>
      </c>
      <c r="C95" s="85"/>
      <c r="D95" s="85" t="s">
        <v>196</v>
      </c>
      <c r="E95" s="85" t="s">
        <v>11</v>
      </c>
      <c r="F95" s="85">
        <v>6.0830000000000002</v>
      </c>
      <c r="G95" s="85" t="s">
        <v>249</v>
      </c>
      <c r="H95" s="87">
        <v>15833.5</v>
      </c>
      <c r="I95" s="34" t="s">
        <v>28</v>
      </c>
      <c r="J95" s="56">
        <v>3</v>
      </c>
      <c r="K95" s="56">
        <v>2</v>
      </c>
      <c r="L95" s="56">
        <v>60</v>
      </c>
      <c r="M95" s="56">
        <v>40</v>
      </c>
    </row>
    <row r="96" spans="1:13" x14ac:dyDescent="0.35">
      <c r="A96" s="84"/>
      <c r="B96" s="85"/>
      <c r="C96" s="85"/>
      <c r="D96" s="85"/>
      <c r="E96" s="85"/>
      <c r="F96" s="85"/>
      <c r="G96" s="85" t="s">
        <v>250</v>
      </c>
      <c r="H96" s="87">
        <v>1.07</v>
      </c>
      <c r="I96" s="34" t="s">
        <v>31</v>
      </c>
      <c r="J96" s="56">
        <v>3</v>
      </c>
      <c r="K96" s="56">
        <v>2</v>
      </c>
      <c r="L96" s="56">
        <v>60</v>
      </c>
      <c r="M96" s="56">
        <v>40</v>
      </c>
    </row>
    <row r="97" spans="1:15" x14ac:dyDescent="0.35">
      <c r="A97" s="84" t="s">
        <v>19</v>
      </c>
      <c r="B97" s="85" t="s">
        <v>219</v>
      </c>
      <c r="C97" s="85"/>
      <c r="D97" s="85" t="s">
        <v>192</v>
      </c>
      <c r="E97" s="85" t="s">
        <v>11</v>
      </c>
      <c r="F97" s="85">
        <v>19.66</v>
      </c>
      <c r="G97" s="85" t="s">
        <v>251</v>
      </c>
      <c r="H97" s="87">
        <v>429137.68300000002</v>
      </c>
      <c r="I97" s="34" t="s">
        <v>410</v>
      </c>
      <c r="J97" s="56">
        <v>4</v>
      </c>
      <c r="K97" s="56" t="s">
        <v>402</v>
      </c>
      <c r="L97" s="56">
        <v>100</v>
      </c>
      <c r="M97" s="56">
        <v>0</v>
      </c>
    </row>
    <row r="98" spans="1:15" x14ac:dyDescent="0.35">
      <c r="A98" s="84" t="s">
        <v>19</v>
      </c>
      <c r="B98" s="85" t="s">
        <v>220</v>
      </c>
      <c r="C98" s="85"/>
      <c r="D98" s="85" t="s">
        <v>193</v>
      </c>
      <c r="E98" s="85" t="s">
        <v>11</v>
      </c>
      <c r="F98" s="85" t="s">
        <v>242</v>
      </c>
      <c r="G98" s="85" t="s">
        <v>244</v>
      </c>
      <c r="H98" s="87">
        <v>3879.415</v>
      </c>
      <c r="I98" s="34" t="s">
        <v>411</v>
      </c>
      <c r="J98" s="56">
        <v>4</v>
      </c>
      <c r="K98" s="56" t="s">
        <v>402</v>
      </c>
      <c r="L98" s="56">
        <v>100</v>
      </c>
      <c r="M98" s="56">
        <v>0</v>
      </c>
    </row>
    <row r="99" spans="1:15" x14ac:dyDescent="0.35">
      <c r="A99" s="84" t="s">
        <v>19</v>
      </c>
      <c r="B99" s="85" t="s">
        <v>221</v>
      </c>
      <c r="C99" s="85"/>
      <c r="D99" s="85" t="s">
        <v>182</v>
      </c>
      <c r="E99" s="85" t="s">
        <v>11</v>
      </c>
      <c r="F99" s="85">
        <v>33.79</v>
      </c>
      <c r="G99" s="85"/>
      <c r="H99" s="87"/>
      <c r="I99" s="34" t="s">
        <v>33</v>
      </c>
      <c r="J99" s="56">
        <v>2</v>
      </c>
      <c r="K99" s="56">
        <v>0</v>
      </c>
      <c r="L99" s="56">
        <v>100</v>
      </c>
      <c r="M99" s="56">
        <v>0</v>
      </c>
    </row>
    <row r="100" spans="1:15" x14ac:dyDescent="0.35">
      <c r="A100" s="84" t="s">
        <v>19</v>
      </c>
      <c r="B100" s="85" t="s">
        <v>219</v>
      </c>
      <c r="C100" s="85"/>
      <c r="D100" s="85" t="s">
        <v>197</v>
      </c>
      <c r="E100" s="85" t="s">
        <v>11</v>
      </c>
      <c r="F100" s="85">
        <v>45.54</v>
      </c>
      <c r="G100" s="85"/>
      <c r="H100" s="87"/>
      <c r="I100" s="34" t="s">
        <v>36</v>
      </c>
      <c r="J100" s="56">
        <v>13</v>
      </c>
      <c r="K100" s="56">
        <v>0</v>
      </c>
      <c r="L100" s="56">
        <v>100</v>
      </c>
      <c r="M100" s="56">
        <v>0</v>
      </c>
    </row>
    <row r="101" spans="1:15" x14ac:dyDescent="0.35">
      <c r="A101" s="84" t="s">
        <v>19</v>
      </c>
      <c r="B101" s="85" t="s">
        <v>219</v>
      </c>
      <c r="C101" s="85"/>
      <c r="D101" s="85" t="s">
        <v>198</v>
      </c>
      <c r="E101" s="85" t="s">
        <v>11</v>
      </c>
      <c r="F101" s="85">
        <v>7.26</v>
      </c>
      <c r="G101" s="85"/>
      <c r="H101" s="87"/>
    </row>
    <row r="102" spans="1:15" x14ac:dyDescent="0.35">
      <c r="A102" s="84" t="s">
        <v>19</v>
      </c>
      <c r="B102" s="85"/>
      <c r="C102" s="85"/>
      <c r="D102" s="85" t="s">
        <v>190</v>
      </c>
      <c r="E102" s="85" t="s">
        <v>11</v>
      </c>
      <c r="F102" s="85">
        <v>13.3</v>
      </c>
      <c r="G102" s="85"/>
      <c r="H102" s="87"/>
    </row>
    <row r="103" spans="1:15" ht="15" thickBot="1" x14ac:dyDescent="0.4">
      <c r="A103" s="84" t="s">
        <v>21</v>
      </c>
      <c r="B103" s="85" t="s">
        <v>222</v>
      </c>
      <c r="C103" s="85" t="s">
        <v>238</v>
      </c>
      <c r="D103" s="85" t="s">
        <v>189</v>
      </c>
      <c r="E103" s="85">
        <v>447983</v>
      </c>
      <c r="F103" s="85">
        <v>19.809999999999999</v>
      </c>
      <c r="G103" s="85" t="s">
        <v>252</v>
      </c>
      <c r="H103" s="87">
        <v>0</v>
      </c>
    </row>
    <row r="104" spans="1:15" ht="58" x14ac:dyDescent="0.35">
      <c r="A104" s="84" t="s">
        <v>21</v>
      </c>
      <c r="B104" s="85" t="s">
        <v>223</v>
      </c>
      <c r="C104" s="85" t="s">
        <v>238</v>
      </c>
      <c r="D104" s="85" t="s">
        <v>182</v>
      </c>
      <c r="E104" s="85">
        <v>141523</v>
      </c>
      <c r="F104" s="85">
        <v>33.630000000000003</v>
      </c>
      <c r="G104" s="85" t="s">
        <v>253</v>
      </c>
      <c r="H104" s="86">
        <v>0</v>
      </c>
      <c r="I104" s="41" t="s">
        <v>390</v>
      </c>
      <c r="J104" s="42" t="s">
        <v>408</v>
      </c>
      <c r="K104" s="43" t="s">
        <v>409</v>
      </c>
      <c r="L104" s="38" t="s">
        <v>412</v>
      </c>
      <c r="M104" s="38" t="s">
        <v>419</v>
      </c>
      <c r="O104" s="57" t="s">
        <v>413</v>
      </c>
    </row>
    <row r="105" spans="1:15" ht="29" x14ac:dyDescent="0.35">
      <c r="A105" s="84" t="s">
        <v>21</v>
      </c>
      <c r="B105" s="85" t="s">
        <v>224</v>
      </c>
      <c r="C105" s="85" t="s">
        <v>238</v>
      </c>
      <c r="D105" s="85" t="s">
        <v>200</v>
      </c>
      <c r="E105" s="85">
        <v>6912</v>
      </c>
      <c r="F105" s="85">
        <v>5.36</v>
      </c>
      <c r="G105" s="85" t="s">
        <v>254</v>
      </c>
      <c r="H105" s="86">
        <v>27</v>
      </c>
      <c r="I105" s="64" t="s">
        <v>10</v>
      </c>
      <c r="J105" s="65">
        <v>80</v>
      </c>
      <c r="K105" s="66">
        <v>20</v>
      </c>
      <c r="L105" s="34" t="s">
        <v>231</v>
      </c>
      <c r="M105" s="37">
        <f>(N105/N109)*100</f>
        <v>42.857142857142854</v>
      </c>
      <c r="N105">
        <v>3</v>
      </c>
      <c r="O105" s="56" t="s">
        <v>414</v>
      </c>
    </row>
    <row r="106" spans="1:15" ht="29" x14ac:dyDescent="0.35">
      <c r="A106" s="84" t="s">
        <v>21</v>
      </c>
      <c r="B106" s="85" t="s">
        <v>41</v>
      </c>
      <c r="C106" s="85" t="s">
        <v>238</v>
      </c>
      <c r="D106" s="85" t="s">
        <v>199</v>
      </c>
      <c r="E106" s="85">
        <v>58267</v>
      </c>
      <c r="F106" s="85">
        <v>10.45</v>
      </c>
      <c r="G106" s="85" t="s">
        <v>255</v>
      </c>
      <c r="H106" s="86">
        <v>0</v>
      </c>
      <c r="I106" s="64" t="s">
        <v>13</v>
      </c>
      <c r="J106" s="65">
        <v>66.7</v>
      </c>
      <c r="K106" s="66">
        <v>33.299999999999997</v>
      </c>
      <c r="L106" s="34" t="s">
        <v>415</v>
      </c>
      <c r="M106" s="37">
        <f>(N106/N109)*100</f>
        <v>28.571428571428569</v>
      </c>
      <c r="N106">
        <v>2</v>
      </c>
      <c r="O106" s="56" t="s">
        <v>416</v>
      </c>
    </row>
    <row r="107" spans="1:15" x14ac:dyDescent="0.35">
      <c r="A107" s="84" t="s">
        <v>21</v>
      </c>
      <c r="B107" s="85" t="s">
        <v>225</v>
      </c>
      <c r="C107" s="85" t="s">
        <v>238</v>
      </c>
      <c r="D107" s="85"/>
      <c r="E107" s="85"/>
      <c r="F107" s="85"/>
      <c r="G107" s="85" t="s">
        <v>256</v>
      </c>
      <c r="H107" s="86">
        <v>6953</v>
      </c>
      <c r="I107" s="64" t="s">
        <v>16</v>
      </c>
      <c r="J107" s="65">
        <v>60</v>
      </c>
      <c r="K107" s="66">
        <v>40</v>
      </c>
      <c r="L107" s="34" t="s">
        <v>417</v>
      </c>
      <c r="M107" s="37">
        <f>(N107/N109)*100</f>
        <v>14.285714285714285</v>
      </c>
      <c r="N107">
        <v>1</v>
      </c>
      <c r="O107" s="56" t="s">
        <v>31</v>
      </c>
    </row>
    <row r="108" spans="1:15" x14ac:dyDescent="0.35">
      <c r="A108" s="84" t="s">
        <v>21</v>
      </c>
      <c r="B108" s="85" t="s">
        <v>42</v>
      </c>
      <c r="C108" s="85"/>
      <c r="D108" s="85"/>
      <c r="E108" s="85"/>
      <c r="F108" s="85"/>
      <c r="G108" s="85"/>
      <c r="H108" s="86"/>
      <c r="I108" s="64" t="s">
        <v>19</v>
      </c>
      <c r="J108" s="65">
        <v>75</v>
      </c>
      <c r="K108" s="66">
        <v>25</v>
      </c>
      <c r="L108" s="34" t="s">
        <v>418</v>
      </c>
      <c r="M108" s="37">
        <v>14.285714285714285</v>
      </c>
      <c r="N108">
        <v>1</v>
      </c>
      <c r="O108" s="56" t="s">
        <v>25</v>
      </c>
    </row>
    <row r="109" spans="1:15" x14ac:dyDescent="0.35">
      <c r="A109" s="84" t="s">
        <v>21</v>
      </c>
      <c r="B109" s="85" t="s">
        <v>43</v>
      </c>
      <c r="C109" s="85"/>
      <c r="D109" s="85"/>
      <c r="E109" s="85"/>
      <c r="F109" s="85"/>
      <c r="G109" s="85"/>
      <c r="H109" s="86"/>
      <c r="I109" s="64" t="s">
        <v>25</v>
      </c>
      <c r="J109" s="65">
        <v>50</v>
      </c>
      <c r="K109" s="66">
        <v>50</v>
      </c>
      <c r="M109" s="37">
        <f>SUM(M105:M108)</f>
        <v>99.999999999999972</v>
      </c>
      <c r="N109">
        <f>SUM(N105:N108)</f>
        <v>7</v>
      </c>
    </row>
    <row r="110" spans="1:15" x14ac:dyDescent="0.35">
      <c r="A110" s="84" t="s">
        <v>23</v>
      </c>
      <c r="B110" s="85" t="s">
        <v>222</v>
      </c>
      <c r="C110" s="85" t="s">
        <v>238</v>
      </c>
      <c r="D110" s="85" t="s">
        <v>189</v>
      </c>
      <c r="E110" s="85">
        <v>447983</v>
      </c>
      <c r="F110" s="85">
        <v>19.809999999999999</v>
      </c>
      <c r="G110" s="85" t="s">
        <v>252</v>
      </c>
      <c r="H110" s="86">
        <v>0</v>
      </c>
      <c r="I110" s="64" t="s">
        <v>28</v>
      </c>
      <c r="J110" s="65">
        <v>60</v>
      </c>
      <c r="K110" s="66">
        <v>40</v>
      </c>
    </row>
    <row r="111" spans="1:15" x14ac:dyDescent="0.35">
      <c r="A111" s="84" t="s">
        <v>23</v>
      </c>
      <c r="B111" s="85" t="s">
        <v>223</v>
      </c>
      <c r="C111" s="85" t="s">
        <v>238</v>
      </c>
      <c r="D111" s="85" t="s">
        <v>182</v>
      </c>
      <c r="E111" s="85">
        <v>141523</v>
      </c>
      <c r="F111" s="85">
        <v>33.630000000000003</v>
      </c>
      <c r="G111" s="85" t="s">
        <v>253</v>
      </c>
      <c r="H111" s="86">
        <v>0</v>
      </c>
      <c r="I111" s="64" t="s">
        <v>31</v>
      </c>
      <c r="J111" s="65">
        <v>60</v>
      </c>
      <c r="K111" s="66">
        <v>40</v>
      </c>
    </row>
    <row r="112" spans="1:15" x14ac:dyDescent="0.35">
      <c r="A112" s="84" t="s">
        <v>23</v>
      </c>
      <c r="B112" s="85" t="s">
        <v>224</v>
      </c>
      <c r="C112" s="85" t="s">
        <v>238</v>
      </c>
      <c r="D112" s="85" t="s">
        <v>200</v>
      </c>
      <c r="E112" s="85">
        <v>6912</v>
      </c>
      <c r="F112" s="85">
        <v>5.36</v>
      </c>
      <c r="G112" s="85" t="s">
        <v>254</v>
      </c>
      <c r="H112" s="86">
        <v>27</v>
      </c>
      <c r="I112" s="64" t="s">
        <v>410</v>
      </c>
      <c r="J112" s="65">
        <v>100</v>
      </c>
      <c r="K112" s="66">
        <v>0</v>
      </c>
    </row>
    <row r="113" spans="1:11" x14ac:dyDescent="0.35">
      <c r="A113" s="84" t="s">
        <v>23</v>
      </c>
      <c r="B113" s="85" t="s">
        <v>41</v>
      </c>
      <c r="C113" s="85" t="s">
        <v>238</v>
      </c>
      <c r="D113" s="85" t="s">
        <v>199</v>
      </c>
      <c r="E113" s="85">
        <v>58267</v>
      </c>
      <c r="F113" s="85">
        <v>10.45</v>
      </c>
      <c r="G113" s="85" t="s">
        <v>255</v>
      </c>
      <c r="H113" s="86">
        <v>0</v>
      </c>
      <c r="I113" s="64" t="s">
        <v>411</v>
      </c>
      <c r="J113" s="65">
        <v>100</v>
      </c>
      <c r="K113" s="66">
        <v>0</v>
      </c>
    </row>
    <row r="114" spans="1:11" x14ac:dyDescent="0.35">
      <c r="A114" s="84" t="s">
        <v>23</v>
      </c>
      <c r="B114" s="85" t="s">
        <v>225</v>
      </c>
      <c r="C114" s="85" t="s">
        <v>238</v>
      </c>
      <c r="D114" s="85"/>
      <c r="E114" s="85"/>
      <c r="F114" s="85"/>
      <c r="G114" s="85" t="s">
        <v>256</v>
      </c>
      <c r="H114" s="86">
        <v>6953</v>
      </c>
      <c r="I114" s="64" t="s">
        <v>33</v>
      </c>
      <c r="J114" s="65">
        <v>100</v>
      </c>
      <c r="K114" s="66">
        <v>0</v>
      </c>
    </row>
    <row r="115" spans="1:11" ht="15" thickBot="1" x14ac:dyDescent="0.4">
      <c r="A115" s="84" t="s">
        <v>23</v>
      </c>
      <c r="B115" s="85" t="s">
        <v>42</v>
      </c>
      <c r="C115" s="85"/>
      <c r="D115" s="85"/>
      <c r="E115" s="85"/>
      <c r="F115" s="85"/>
      <c r="G115" s="85"/>
      <c r="H115" s="86"/>
      <c r="I115" s="67" t="s">
        <v>36</v>
      </c>
      <c r="J115" s="68">
        <v>100</v>
      </c>
      <c r="K115" s="69">
        <v>0</v>
      </c>
    </row>
    <row r="116" spans="1:11" x14ac:dyDescent="0.35">
      <c r="A116" s="84" t="s">
        <v>23</v>
      </c>
      <c r="B116" s="85" t="s">
        <v>43</v>
      </c>
      <c r="C116" s="85"/>
      <c r="D116" s="85"/>
      <c r="E116" s="85"/>
      <c r="F116" s="85"/>
      <c r="G116" s="85"/>
      <c r="H116" s="87"/>
    </row>
    <row r="117" spans="1:11" x14ac:dyDescent="0.35">
      <c r="A117" s="84" t="s">
        <v>25</v>
      </c>
      <c r="B117" s="85" t="s">
        <v>226</v>
      </c>
      <c r="C117" s="85"/>
      <c r="D117" s="85" t="s">
        <v>201</v>
      </c>
      <c r="E117" s="85"/>
      <c r="F117" s="85">
        <v>16.32</v>
      </c>
      <c r="G117" s="85"/>
      <c r="H117" s="87"/>
    </row>
    <row r="118" spans="1:11" x14ac:dyDescent="0.35">
      <c r="A118" s="84" t="s">
        <v>25</v>
      </c>
      <c r="B118" s="85" t="s">
        <v>227</v>
      </c>
      <c r="C118" s="85"/>
      <c r="D118" s="85" t="s">
        <v>202</v>
      </c>
      <c r="E118" s="85"/>
      <c r="F118" s="85">
        <v>29.84</v>
      </c>
      <c r="G118" s="85"/>
      <c r="H118" s="87"/>
    </row>
    <row r="119" spans="1:11" x14ac:dyDescent="0.35">
      <c r="A119" s="84" t="s">
        <v>25</v>
      </c>
      <c r="B119" s="85" t="s">
        <v>228</v>
      </c>
      <c r="C119" s="85"/>
      <c r="D119" s="85" t="s">
        <v>218</v>
      </c>
      <c r="E119" s="85"/>
      <c r="F119" s="85">
        <v>33.979999999999997</v>
      </c>
      <c r="G119" s="85"/>
      <c r="H119" s="87"/>
    </row>
    <row r="120" spans="1:11" x14ac:dyDescent="0.35">
      <c r="A120" s="84" t="s">
        <v>25</v>
      </c>
      <c r="B120" s="85" t="s">
        <v>229</v>
      </c>
      <c r="C120" s="85"/>
      <c r="D120" s="85" t="s">
        <v>203</v>
      </c>
      <c r="E120" s="85"/>
      <c r="F120" s="85">
        <v>34.07</v>
      </c>
      <c r="G120" s="85"/>
      <c r="H120" s="87"/>
    </row>
    <row r="121" spans="1:11" x14ac:dyDescent="0.35">
      <c r="A121" s="84" t="s">
        <v>28</v>
      </c>
      <c r="B121" s="85" t="s">
        <v>230</v>
      </c>
      <c r="C121" s="85" t="s">
        <v>238</v>
      </c>
      <c r="D121" s="85" t="s">
        <v>204</v>
      </c>
      <c r="E121" s="85"/>
      <c r="F121" s="85">
        <v>18.829999999999998</v>
      </c>
      <c r="G121" s="85" t="s">
        <v>257</v>
      </c>
      <c r="H121" s="87">
        <v>31.81</v>
      </c>
    </row>
    <row r="122" spans="1:11" x14ac:dyDescent="0.35">
      <c r="A122" s="84" t="s">
        <v>28</v>
      </c>
      <c r="B122" s="85" t="s">
        <v>44</v>
      </c>
      <c r="C122" s="85" t="s">
        <v>239</v>
      </c>
      <c r="D122" s="85" t="s">
        <v>202</v>
      </c>
      <c r="E122" s="85"/>
      <c r="F122" s="85">
        <v>28.96</v>
      </c>
      <c r="G122" s="85" t="s">
        <v>258</v>
      </c>
      <c r="H122" s="87">
        <v>1002.58</v>
      </c>
    </row>
    <row r="123" spans="1:11" x14ac:dyDescent="0.35">
      <c r="A123" s="84" t="s">
        <v>28</v>
      </c>
      <c r="B123" s="85" t="s">
        <v>231</v>
      </c>
      <c r="C123" s="85" t="s">
        <v>238</v>
      </c>
      <c r="D123" s="85" t="s">
        <v>205</v>
      </c>
      <c r="E123" s="85"/>
      <c r="F123" s="85">
        <v>32.340000000000003</v>
      </c>
      <c r="G123" s="85"/>
      <c r="H123" s="87"/>
    </row>
    <row r="124" spans="1:11" x14ac:dyDescent="0.35">
      <c r="A124" s="84" t="s">
        <v>28</v>
      </c>
      <c r="B124" s="85" t="s">
        <v>232</v>
      </c>
      <c r="C124" s="85" t="s">
        <v>240</v>
      </c>
      <c r="D124" s="85" t="s">
        <v>206</v>
      </c>
      <c r="E124" s="85"/>
      <c r="F124" s="85">
        <v>32.17</v>
      </c>
      <c r="G124" s="85"/>
      <c r="H124" s="87"/>
    </row>
    <row r="125" spans="1:11" x14ac:dyDescent="0.35">
      <c r="A125" s="84" t="s">
        <v>28</v>
      </c>
      <c r="B125" s="85" t="s">
        <v>233</v>
      </c>
      <c r="C125" s="85" t="s">
        <v>238</v>
      </c>
      <c r="D125" s="85" t="s">
        <v>190</v>
      </c>
      <c r="E125" s="85"/>
      <c r="F125" s="85" t="s">
        <v>159</v>
      </c>
      <c r="G125" s="85"/>
      <c r="H125" s="87"/>
    </row>
    <row r="126" spans="1:11" x14ac:dyDescent="0.35">
      <c r="A126" s="84" t="s">
        <v>28</v>
      </c>
      <c r="B126" s="85" t="s">
        <v>219</v>
      </c>
      <c r="C126" s="85" t="s">
        <v>238</v>
      </c>
      <c r="D126" s="85" t="s">
        <v>191</v>
      </c>
      <c r="E126" s="85"/>
      <c r="F126" s="85">
        <v>12.63</v>
      </c>
      <c r="G126" s="85"/>
      <c r="H126" s="87"/>
    </row>
    <row r="127" spans="1:11" x14ac:dyDescent="0.35">
      <c r="A127" s="84" t="s">
        <v>28</v>
      </c>
      <c r="B127" s="85" t="s">
        <v>219</v>
      </c>
      <c r="C127" s="85"/>
      <c r="D127" s="85"/>
      <c r="E127" s="85"/>
      <c r="F127" s="85"/>
      <c r="G127" s="85"/>
      <c r="H127" s="87"/>
    </row>
    <row r="128" spans="1:11" x14ac:dyDescent="0.35">
      <c r="A128" s="84" t="s">
        <v>31</v>
      </c>
      <c r="B128" s="85" t="s">
        <v>159</v>
      </c>
      <c r="C128" s="85" t="s">
        <v>238</v>
      </c>
      <c r="D128" s="85" t="s">
        <v>204</v>
      </c>
      <c r="E128" s="85"/>
      <c r="F128" s="85">
        <v>0</v>
      </c>
      <c r="G128" s="85" t="s">
        <v>243</v>
      </c>
      <c r="H128" s="87">
        <v>118436.842</v>
      </c>
    </row>
    <row r="129" spans="1:8" x14ac:dyDescent="0.35">
      <c r="A129" s="84" t="s">
        <v>31</v>
      </c>
      <c r="B129" s="85" t="s">
        <v>159</v>
      </c>
      <c r="C129" s="85" t="s">
        <v>231</v>
      </c>
      <c r="D129" s="85" t="s">
        <v>202</v>
      </c>
      <c r="E129" s="85"/>
      <c r="F129" s="85">
        <v>31.21</v>
      </c>
      <c r="G129" s="85" t="s">
        <v>244</v>
      </c>
      <c r="H129" s="87">
        <v>15001.73</v>
      </c>
    </row>
    <row r="130" spans="1:8" x14ac:dyDescent="0.35">
      <c r="A130" s="84" t="s">
        <v>31</v>
      </c>
      <c r="B130" s="85" t="s">
        <v>234</v>
      </c>
      <c r="C130" s="85" t="s">
        <v>238</v>
      </c>
      <c r="D130" s="85" t="s">
        <v>205</v>
      </c>
      <c r="E130" s="85"/>
      <c r="F130" s="85">
        <v>0</v>
      </c>
      <c r="G130" s="85"/>
      <c r="H130" s="87"/>
    </row>
    <row r="131" spans="1:8" x14ac:dyDescent="0.35">
      <c r="A131" s="84" t="s">
        <v>31</v>
      </c>
      <c r="B131" s="85" t="s">
        <v>159</v>
      </c>
      <c r="C131" s="85" t="s">
        <v>241</v>
      </c>
      <c r="D131" s="85" t="s">
        <v>206</v>
      </c>
      <c r="E131" s="85"/>
      <c r="F131" s="85">
        <v>34.06</v>
      </c>
      <c r="G131" s="85"/>
      <c r="H131" s="87"/>
    </row>
    <row r="132" spans="1:8" x14ac:dyDescent="0.35">
      <c r="A132" s="84" t="s">
        <v>31</v>
      </c>
      <c r="B132" s="85" t="s">
        <v>159</v>
      </c>
      <c r="C132" s="85" t="s">
        <v>238</v>
      </c>
      <c r="D132" s="85" t="s">
        <v>190</v>
      </c>
      <c r="E132" s="85"/>
      <c r="F132" s="85">
        <v>17.149999999999999</v>
      </c>
      <c r="G132" s="85"/>
      <c r="H132" s="87"/>
    </row>
    <row r="133" spans="1:8" x14ac:dyDescent="0.35">
      <c r="A133" s="84" t="s">
        <v>31</v>
      </c>
      <c r="B133" s="85" t="s">
        <v>159</v>
      </c>
      <c r="C133" s="85" t="s">
        <v>238</v>
      </c>
      <c r="D133" s="85" t="s">
        <v>191</v>
      </c>
      <c r="E133" s="85"/>
      <c r="F133" s="85">
        <v>16.8</v>
      </c>
      <c r="G133" s="85"/>
      <c r="H133" s="87"/>
    </row>
    <row r="134" spans="1:8" x14ac:dyDescent="0.35">
      <c r="A134" s="84" t="s">
        <v>33</v>
      </c>
      <c r="B134" s="85" t="s">
        <v>235</v>
      </c>
      <c r="C134" s="85" t="s">
        <v>238</v>
      </c>
      <c r="D134" s="85" t="s">
        <v>189</v>
      </c>
      <c r="E134" s="85">
        <v>174964.56</v>
      </c>
      <c r="F134" s="85">
        <v>4909</v>
      </c>
      <c r="G134" s="85" t="s">
        <v>259</v>
      </c>
      <c r="H134" s="87">
        <v>31811.24</v>
      </c>
    </row>
    <row r="135" spans="1:8" x14ac:dyDescent="0.35">
      <c r="A135" s="84" t="s">
        <v>33</v>
      </c>
      <c r="B135" s="85" t="s">
        <v>236</v>
      </c>
      <c r="C135" s="85" t="s">
        <v>238</v>
      </c>
      <c r="D135" s="85" t="s">
        <v>182</v>
      </c>
      <c r="E135" s="85">
        <v>167502.22</v>
      </c>
      <c r="F135" s="85"/>
      <c r="G135" s="85" t="s">
        <v>260</v>
      </c>
      <c r="H135" s="87">
        <v>27776.46</v>
      </c>
    </row>
    <row r="136" spans="1:8" x14ac:dyDescent="0.35">
      <c r="A136" s="84" t="s">
        <v>36</v>
      </c>
      <c r="B136" s="85" t="s">
        <v>237</v>
      </c>
      <c r="C136" s="85" t="s">
        <v>238</v>
      </c>
      <c r="D136" s="85" t="s">
        <v>189</v>
      </c>
      <c r="E136" s="85">
        <v>332248</v>
      </c>
      <c r="F136" s="85">
        <v>4762.2</v>
      </c>
      <c r="G136" s="85" t="s">
        <v>207</v>
      </c>
      <c r="H136" s="87">
        <v>2698</v>
      </c>
    </row>
    <row r="137" spans="1:8" x14ac:dyDescent="0.35">
      <c r="A137" s="84" t="s">
        <v>36</v>
      </c>
      <c r="B137" s="85"/>
      <c r="C137" s="85" t="s">
        <v>238</v>
      </c>
      <c r="D137" s="85" t="s">
        <v>182</v>
      </c>
      <c r="E137" s="85">
        <v>72140</v>
      </c>
      <c r="F137" s="85">
        <v>8077.3</v>
      </c>
      <c r="G137" s="85" t="s">
        <v>208</v>
      </c>
      <c r="H137" s="87">
        <v>7</v>
      </c>
    </row>
    <row r="138" spans="1:8" x14ac:dyDescent="0.35">
      <c r="A138" s="84" t="s">
        <v>36</v>
      </c>
      <c r="B138" s="85"/>
      <c r="C138" s="85" t="s">
        <v>238</v>
      </c>
      <c r="D138" s="85" t="s">
        <v>207</v>
      </c>
      <c r="E138" s="85">
        <v>2698</v>
      </c>
      <c r="F138" s="85">
        <v>3073.14</v>
      </c>
      <c r="G138" s="85" t="s">
        <v>209</v>
      </c>
      <c r="H138" s="87">
        <v>1553</v>
      </c>
    </row>
    <row r="139" spans="1:8" x14ac:dyDescent="0.35">
      <c r="A139" s="84" t="s">
        <v>36</v>
      </c>
      <c r="B139" s="85"/>
      <c r="C139" s="85" t="s">
        <v>238</v>
      </c>
      <c r="D139" s="85" t="s">
        <v>208</v>
      </c>
      <c r="E139" s="85">
        <v>7</v>
      </c>
      <c r="F139" s="85">
        <v>3274</v>
      </c>
      <c r="G139" s="85" t="s">
        <v>210</v>
      </c>
      <c r="H139" s="87">
        <v>401</v>
      </c>
    </row>
    <row r="140" spans="1:8" x14ac:dyDescent="0.35">
      <c r="A140" s="84" t="s">
        <v>36</v>
      </c>
      <c r="B140" s="85"/>
      <c r="C140" s="85" t="s">
        <v>238</v>
      </c>
      <c r="D140" s="85" t="s">
        <v>209</v>
      </c>
      <c r="E140" s="85">
        <v>1553</v>
      </c>
      <c r="F140" s="85">
        <v>2721.18</v>
      </c>
      <c r="G140" s="85" t="s">
        <v>261</v>
      </c>
      <c r="H140" s="87">
        <v>144</v>
      </c>
    </row>
    <row r="141" spans="1:8" x14ac:dyDescent="0.35">
      <c r="A141" s="84" t="s">
        <v>36</v>
      </c>
      <c r="B141" s="85"/>
      <c r="C141" s="85" t="s">
        <v>238</v>
      </c>
      <c r="D141" s="85" t="s">
        <v>210</v>
      </c>
      <c r="E141" s="85">
        <v>401</v>
      </c>
      <c r="F141" s="85">
        <v>4153</v>
      </c>
      <c r="G141" s="85" t="s">
        <v>262</v>
      </c>
      <c r="H141" s="87">
        <v>22</v>
      </c>
    </row>
    <row r="142" spans="1:8" x14ac:dyDescent="0.35">
      <c r="A142" s="84" t="s">
        <v>36</v>
      </c>
      <c r="B142" s="85"/>
      <c r="C142" s="85" t="s">
        <v>238</v>
      </c>
      <c r="D142" s="85" t="s">
        <v>211</v>
      </c>
      <c r="E142" s="85">
        <v>144</v>
      </c>
      <c r="F142" s="85">
        <v>3167</v>
      </c>
      <c r="G142" s="85" t="s">
        <v>263</v>
      </c>
      <c r="H142" s="87">
        <v>5529</v>
      </c>
    </row>
    <row r="143" spans="1:8" x14ac:dyDescent="0.35">
      <c r="A143" s="84" t="s">
        <v>36</v>
      </c>
      <c r="B143" s="85"/>
      <c r="C143" s="85" t="s">
        <v>238</v>
      </c>
      <c r="D143" s="85" t="s">
        <v>212</v>
      </c>
      <c r="E143" s="85">
        <v>22</v>
      </c>
      <c r="F143" s="85">
        <v>5060</v>
      </c>
      <c r="G143" s="85" t="s">
        <v>214</v>
      </c>
      <c r="H143" s="87">
        <v>11023</v>
      </c>
    </row>
    <row r="144" spans="1:8" x14ac:dyDescent="0.35">
      <c r="A144" s="84" t="s">
        <v>36</v>
      </c>
      <c r="B144" s="85"/>
      <c r="C144" s="85" t="s">
        <v>238</v>
      </c>
      <c r="D144" s="85" t="s">
        <v>213</v>
      </c>
      <c r="E144" s="85">
        <v>5529</v>
      </c>
      <c r="F144" s="85">
        <v>2900</v>
      </c>
      <c r="G144" s="85" t="s">
        <v>264</v>
      </c>
      <c r="H144" s="87">
        <v>6653</v>
      </c>
    </row>
    <row r="145" spans="1:8" x14ac:dyDescent="0.35">
      <c r="A145" s="84" t="s">
        <v>36</v>
      </c>
      <c r="B145" s="85"/>
      <c r="C145" s="85" t="s">
        <v>238</v>
      </c>
      <c r="D145" s="85" t="s">
        <v>214</v>
      </c>
      <c r="E145" s="85">
        <v>11023</v>
      </c>
      <c r="F145" s="85">
        <v>3262.75</v>
      </c>
      <c r="G145" s="85" t="s">
        <v>265</v>
      </c>
      <c r="H145" s="87">
        <v>297</v>
      </c>
    </row>
    <row r="146" spans="1:8" x14ac:dyDescent="0.35">
      <c r="A146" s="84" t="s">
        <v>36</v>
      </c>
      <c r="B146" s="85"/>
      <c r="C146" s="85" t="s">
        <v>238</v>
      </c>
      <c r="D146" s="85" t="s">
        <v>198</v>
      </c>
      <c r="E146" s="85">
        <v>6653</v>
      </c>
      <c r="F146" s="85">
        <v>2549.83</v>
      </c>
      <c r="G146" s="85" t="s">
        <v>266</v>
      </c>
      <c r="H146" s="87">
        <v>87</v>
      </c>
    </row>
    <row r="147" spans="1:8" x14ac:dyDescent="0.35">
      <c r="A147" s="84" t="s">
        <v>36</v>
      </c>
      <c r="B147" s="85"/>
      <c r="C147" s="85" t="s">
        <v>238</v>
      </c>
      <c r="D147" s="85" t="s">
        <v>215</v>
      </c>
      <c r="E147" s="85">
        <v>297</v>
      </c>
      <c r="F147" s="85">
        <v>4712</v>
      </c>
      <c r="G147" s="85" t="s">
        <v>267</v>
      </c>
      <c r="H147" s="87">
        <v>200</v>
      </c>
    </row>
    <row r="148" spans="1:8" x14ac:dyDescent="0.35">
      <c r="A148" s="84" t="s">
        <v>36</v>
      </c>
      <c r="B148" s="85"/>
      <c r="C148" s="85" t="s">
        <v>238</v>
      </c>
      <c r="D148" s="85" t="s">
        <v>216</v>
      </c>
      <c r="E148" s="85">
        <v>87</v>
      </c>
      <c r="F148" s="85">
        <v>4265</v>
      </c>
      <c r="G148" s="85"/>
      <c r="H148" s="87"/>
    </row>
    <row r="149" spans="1:8" ht="15" thickBot="1" x14ac:dyDescent="0.4">
      <c r="A149" s="88" t="s">
        <v>36</v>
      </c>
      <c r="B149" s="89"/>
      <c r="C149" s="89" t="s">
        <v>238</v>
      </c>
      <c r="D149" s="89" t="s">
        <v>217</v>
      </c>
      <c r="E149" s="89">
        <v>200</v>
      </c>
      <c r="F149" s="89">
        <v>3490</v>
      </c>
      <c r="G149" s="89"/>
      <c r="H149" s="90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workbookViewId="0">
      <selection activeCell="D10" sqref="D10"/>
    </sheetView>
  </sheetViews>
  <sheetFormatPr defaultRowHeight="14.5" x14ac:dyDescent="0.35"/>
  <cols>
    <col min="1" max="1" width="6.1796875" bestFit="1" customWidth="1"/>
    <col min="2" max="2" width="49.08984375" bestFit="1" customWidth="1"/>
    <col min="3" max="3" width="11.6328125" bestFit="1" customWidth="1"/>
    <col min="4" max="4" width="30.6328125" bestFit="1" customWidth="1"/>
    <col min="5" max="5" width="28" bestFit="1" customWidth="1"/>
    <col min="7" max="7" width="5.453125" bestFit="1" customWidth="1"/>
    <col min="8" max="8" width="5.6328125" bestFit="1" customWidth="1"/>
    <col min="9" max="9" width="5.90625" bestFit="1" customWidth="1"/>
    <col min="10" max="11" width="5.6328125" bestFit="1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45</v>
      </c>
      <c r="E1" s="1" t="s">
        <v>46</v>
      </c>
      <c r="G1" s="41" t="s">
        <v>390</v>
      </c>
      <c r="H1" s="59" t="s">
        <v>398</v>
      </c>
      <c r="I1" s="59" t="s">
        <v>399</v>
      </c>
      <c r="J1" s="59" t="s">
        <v>400</v>
      </c>
      <c r="K1" s="60" t="s">
        <v>401</v>
      </c>
    </row>
    <row r="2" spans="1:11" x14ac:dyDescent="0.35">
      <c r="A2">
        <v>1</v>
      </c>
      <c r="B2" t="s">
        <v>9</v>
      </c>
      <c r="C2" t="s">
        <v>10</v>
      </c>
      <c r="D2" t="s">
        <v>47</v>
      </c>
      <c r="E2" s="70" t="s">
        <v>48</v>
      </c>
      <c r="G2" s="44" t="s">
        <v>10</v>
      </c>
      <c r="H2" s="58">
        <v>0</v>
      </c>
      <c r="I2" s="58" t="s">
        <v>402</v>
      </c>
      <c r="J2" s="58">
        <v>0</v>
      </c>
      <c r="K2" s="61">
        <v>5.3</v>
      </c>
    </row>
    <row r="3" spans="1:11" x14ac:dyDescent="0.35">
      <c r="A3">
        <v>1</v>
      </c>
      <c r="B3" t="s">
        <v>9</v>
      </c>
      <c r="C3" t="s">
        <v>10</v>
      </c>
      <c r="D3" t="s">
        <v>14</v>
      </c>
      <c r="E3" s="70" t="s">
        <v>11</v>
      </c>
      <c r="G3" s="44" t="s">
        <v>13</v>
      </c>
      <c r="H3" s="58">
        <v>46</v>
      </c>
      <c r="I3" s="58">
        <v>17</v>
      </c>
      <c r="J3" s="58">
        <v>16.34</v>
      </c>
      <c r="K3" s="61">
        <v>0</v>
      </c>
    </row>
    <row r="4" spans="1:11" x14ac:dyDescent="0.35">
      <c r="A4">
        <v>2</v>
      </c>
      <c r="B4" t="s">
        <v>12</v>
      </c>
      <c r="C4" t="s">
        <v>13</v>
      </c>
      <c r="D4" t="s">
        <v>49</v>
      </c>
      <c r="E4">
        <v>46</v>
      </c>
      <c r="G4" s="44" t="s">
        <v>16</v>
      </c>
      <c r="H4" s="58">
        <v>155</v>
      </c>
      <c r="I4" s="58">
        <v>0</v>
      </c>
      <c r="J4" s="58">
        <v>0</v>
      </c>
      <c r="K4" s="61">
        <v>0</v>
      </c>
    </row>
    <row r="5" spans="1:11" x14ac:dyDescent="0.35">
      <c r="A5">
        <v>2</v>
      </c>
      <c r="B5" t="s">
        <v>12</v>
      </c>
      <c r="C5" t="s">
        <v>13</v>
      </c>
      <c r="D5" t="s">
        <v>14</v>
      </c>
      <c r="E5">
        <v>17</v>
      </c>
      <c r="G5" s="44" t="s">
        <v>19</v>
      </c>
      <c r="H5" s="58">
        <v>0</v>
      </c>
      <c r="I5" s="58">
        <v>22</v>
      </c>
      <c r="J5" s="58">
        <v>0</v>
      </c>
      <c r="K5" s="61">
        <v>0</v>
      </c>
    </row>
    <row r="6" spans="1:11" x14ac:dyDescent="0.35">
      <c r="A6">
        <v>2</v>
      </c>
      <c r="B6" t="s">
        <v>12</v>
      </c>
      <c r="C6" t="s">
        <v>13</v>
      </c>
      <c r="D6" t="s">
        <v>268</v>
      </c>
      <c r="E6">
        <v>10.34</v>
      </c>
      <c r="G6" s="44" t="s">
        <v>21</v>
      </c>
      <c r="H6" s="58">
        <v>0</v>
      </c>
      <c r="I6" s="58">
        <v>22.44</v>
      </c>
      <c r="J6" s="58">
        <v>23</v>
      </c>
      <c r="K6" s="61">
        <v>0</v>
      </c>
    </row>
    <row r="7" spans="1:11" x14ac:dyDescent="0.35">
      <c r="A7">
        <v>2</v>
      </c>
      <c r="B7" t="s">
        <v>12</v>
      </c>
      <c r="C7" t="s">
        <v>13</v>
      </c>
      <c r="D7" t="s">
        <v>269</v>
      </c>
      <c r="E7">
        <v>6</v>
      </c>
      <c r="G7" s="44" t="s">
        <v>23</v>
      </c>
      <c r="H7" s="58">
        <v>0</v>
      </c>
      <c r="I7" s="58">
        <v>22.44</v>
      </c>
      <c r="J7" s="58">
        <v>15</v>
      </c>
      <c r="K7" s="61">
        <v>0</v>
      </c>
    </row>
    <row r="8" spans="1:11" x14ac:dyDescent="0.35">
      <c r="A8">
        <v>3</v>
      </c>
      <c r="B8" t="s">
        <v>15</v>
      </c>
      <c r="C8" t="s">
        <v>16</v>
      </c>
      <c r="D8" t="s">
        <v>49</v>
      </c>
      <c r="E8">
        <v>155</v>
      </c>
      <c r="G8" s="44" t="s">
        <v>25</v>
      </c>
      <c r="H8" s="58">
        <v>28</v>
      </c>
      <c r="I8" s="58">
        <v>13</v>
      </c>
      <c r="J8" s="58">
        <v>0</v>
      </c>
      <c r="K8" s="61">
        <v>0</v>
      </c>
    </row>
    <row r="9" spans="1:11" x14ac:dyDescent="0.35">
      <c r="A9">
        <v>4</v>
      </c>
      <c r="B9" t="s">
        <v>18</v>
      </c>
      <c r="C9" t="s">
        <v>19</v>
      </c>
      <c r="D9" t="s">
        <v>14</v>
      </c>
      <c r="E9" s="70" t="s">
        <v>50</v>
      </c>
      <c r="G9" s="44" t="s">
        <v>28</v>
      </c>
      <c r="H9" s="58">
        <v>31.4</v>
      </c>
      <c r="I9" s="58">
        <v>36.6</v>
      </c>
      <c r="J9" s="58">
        <v>19.43</v>
      </c>
      <c r="K9" s="61">
        <v>0</v>
      </c>
    </row>
    <row r="10" spans="1:11" x14ac:dyDescent="0.35">
      <c r="A10">
        <v>5</v>
      </c>
      <c r="B10" t="s">
        <v>20</v>
      </c>
      <c r="C10" t="s">
        <v>21</v>
      </c>
      <c r="D10" t="s">
        <v>270</v>
      </c>
      <c r="E10">
        <v>22.44</v>
      </c>
      <c r="G10" s="44" t="s">
        <v>31</v>
      </c>
      <c r="H10" s="58">
        <v>0</v>
      </c>
      <c r="I10" s="58">
        <v>31</v>
      </c>
      <c r="J10" s="58">
        <v>15</v>
      </c>
      <c r="K10" s="61">
        <v>0</v>
      </c>
    </row>
    <row r="11" spans="1:11" x14ac:dyDescent="0.35">
      <c r="A11">
        <v>5</v>
      </c>
      <c r="B11" t="s">
        <v>20</v>
      </c>
      <c r="C11" t="s">
        <v>21</v>
      </c>
      <c r="D11" t="s">
        <v>271</v>
      </c>
      <c r="E11">
        <v>23</v>
      </c>
      <c r="G11" s="44" t="s">
        <v>33</v>
      </c>
      <c r="H11" s="58">
        <v>0</v>
      </c>
      <c r="I11" s="58">
        <v>15</v>
      </c>
      <c r="J11" s="58">
        <v>5</v>
      </c>
      <c r="K11" s="61">
        <v>0</v>
      </c>
    </row>
    <row r="12" spans="1:11" ht="15" thickBot="1" x14ac:dyDescent="0.4">
      <c r="A12">
        <v>5</v>
      </c>
      <c r="B12" t="s">
        <v>20</v>
      </c>
      <c r="C12" t="s">
        <v>21</v>
      </c>
      <c r="D12" t="s">
        <v>51</v>
      </c>
      <c r="E12" s="70" t="s">
        <v>11</v>
      </c>
      <c r="G12" s="45" t="s">
        <v>36</v>
      </c>
      <c r="H12" s="62">
        <v>27</v>
      </c>
      <c r="I12" s="62">
        <v>15</v>
      </c>
      <c r="J12" s="62">
        <v>0</v>
      </c>
      <c r="K12" s="63">
        <v>0</v>
      </c>
    </row>
    <row r="13" spans="1:11" x14ac:dyDescent="0.35">
      <c r="A13">
        <v>6</v>
      </c>
      <c r="B13" t="s">
        <v>22</v>
      </c>
      <c r="C13" t="s">
        <v>23</v>
      </c>
      <c r="D13" t="s">
        <v>270</v>
      </c>
      <c r="E13">
        <v>22.44</v>
      </c>
      <c r="H13">
        <f>SUM(H2:H12)</f>
        <v>287.39999999999998</v>
      </c>
      <c r="I13">
        <f t="shared" ref="I13:K13" si="0">SUM(I2:I12)</f>
        <v>194.48</v>
      </c>
      <c r="J13">
        <f t="shared" si="0"/>
        <v>93.77000000000001</v>
      </c>
      <c r="K13">
        <f t="shared" si="0"/>
        <v>5.3</v>
      </c>
    </row>
    <row r="14" spans="1:11" x14ac:dyDescent="0.35">
      <c r="A14">
        <v>6</v>
      </c>
      <c r="B14" t="s">
        <v>22</v>
      </c>
      <c r="C14" t="s">
        <v>23</v>
      </c>
      <c r="D14" t="s">
        <v>271</v>
      </c>
      <c r="E14">
        <v>15</v>
      </c>
    </row>
    <row r="15" spans="1:11" x14ac:dyDescent="0.35">
      <c r="A15">
        <v>6</v>
      </c>
      <c r="B15" t="s">
        <v>22</v>
      </c>
      <c r="C15" t="s">
        <v>23</v>
      </c>
      <c r="D15" t="s">
        <v>51</v>
      </c>
      <c r="E15" s="70" t="s">
        <v>11</v>
      </c>
    </row>
    <row r="16" spans="1:11" x14ac:dyDescent="0.35">
      <c r="A16">
        <v>7</v>
      </c>
      <c r="B16" t="s">
        <v>24</v>
      </c>
      <c r="C16" t="s">
        <v>25</v>
      </c>
      <c r="D16" t="s">
        <v>14</v>
      </c>
      <c r="E16">
        <v>13</v>
      </c>
    </row>
    <row r="17" spans="1:5" x14ac:dyDescent="0.35">
      <c r="A17">
        <v>7</v>
      </c>
      <c r="B17" t="s">
        <v>24</v>
      </c>
      <c r="C17" t="s">
        <v>25</v>
      </c>
      <c r="D17" t="s">
        <v>272</v>
      </c>
      <c r="E17">
        <v>28</v>
      </c>
    </row>
    <row r="18" spans="1:5" x14ac:dyDescent="0.35">
      <c r="A18">
        <v>8</v>
      </c>
      <c r="B18" t="s">
        <v>27</v>
      </c>
      <c r="C18" t="s">
        <v>28</v>
      </c>
      <c r="D18" t="s">
        <v>49</v>
      </c>
      <c r="E18">
        <v>31.4</v>
      </c>
    </row>
    <row r="19" spans="1:5" x14ac:dyDescent="0.35">
      <c r="A19">
        <v>8</v>
      </c>
      <c r="B19" t="s">
        <v>27</v>
      </c>
      <c r="C19" t="s">
        <v>28</v>
      </c>
      <c r="D19" t="s">
        <v>273</v>
      </c>
      <c r="E19">
        <v>20</v>
      </c>
    </row>
    <row r="20" spans="1:5" x14ac:dyDescent="0.35">
      <c r="A20">
        <v>8</v>
      </c>
      <c r="B20" t="s">
        <v>27</v>
      </c>
      <c r="C20" t="s">
        <v>28</v>
      </c>
      <c r="D20" t="s">
        <v>274</v>
      </c>
      <c r="E20">
        <v>16.600000000000001</v>
      </c>
    </row>
    <row r="21" spans="1:5" x14ac:dyDescent="0.35">
      <c r="A21">
        <v>8</v>
      </c>
      <c r="B21" t="s">
        <v>27</v>
      </c>
      <c r="C21" t="s">
        <v>28</v>
      </c>
      <c r="D21" t="s">
        <v>268</v>
      </c>
      <c r="E21">
        <v>10.68</v>
      </c>
    </row>
    <row r="22" spans="1:5" x14ac:dyDescent="0.35">
      <c r="A22">
        <v>8</v>
      </c>
      <c r="B22" t="s">
        <v>27</v>
      </c>
      <c r="C22" t="s">
        <v>28</v>
      </c>
      <c r="D22" t="s">
        <v>276</v>
      </c>
      <c r="E22">
        <v>8.75</v>
      </c>
    </row>
    <row r="23" spans="1:5" x14ac:dyDescent="0.35">
      <c r="A23">
        <v>9</v>
      </c>
      <c r="B23" t="s">
        <v>30</v>
      </c>
      <c r="C23" t="s">
        <v>31</v>
      </c>
      <c r="D23" t="s">
        <v>14</v>
      </c>
      <c r="E23">
        <v>31</v>
      </c>
    </row>
    <row r="24" spans="1:5" x14ac:dyDescent="0.35">
      <c r="A24">
        <v>9</v>
      </c>
      <c r="B24" t="s">
        <v>30</v>
      </c>
      <c r="C24" t="s">
        <v>31</v>
      </c>
      <c r="D24" t="s">
        <v>179</v>
      </c>
      <c r="E24">
        <v>15</v>
      </c>
    </row>
    <row r="25" spans="1:5" x14ac:dyDescent="0.35">
      <c r="A25">
        <v>10</v>
      </c>
      <c r="B25" t="s">
        <v>32</v>
      </c>
      <c r="C25" t="s">
        <v>33</v>
      </c>
      <c r="D25" t="s">
        <v>52</v>
      </c>
      <c r="E25">
        <v>15</v>
      </c>
    </row>
    <row r="26" spans="1:5" x14ac:dyDescent="0.35">
      <c r="A26">
        <v>10</v>
      </c>
      <c r="B26" t="s">
        <v>32</v>
      </c>
      <c r="C26" t="s">
        <v>33</v>
      </c>
      <c r="D26" t="s">
        <v>275</v>
      </c>
      <c r="E26">
        <v>5</v>
      </c>
    </row>
    <row r="27" spans="1:5" x14ac:dyDescent="0.35">
      <c r="A27">
        <v>11</v>
      </c>
      <c r="B27" t="s">
        <v>34</v>
      </c>
      <c r="C27" t="s">
        <v>132</v>
      </c>
      <c r="D27" t="s">
        <v>52</v>
      </c>
      <c r="E27" s="70" t="s">
        <v>11</v>
      </c>
    </row>
    <row r="28" spans="1:5" x14ac:dyDescent="0.35">
      <c r="A28">
        <v>12</v>
      </c>
      <c r="B28" t="s">
        <v>35</v>
      </c>
      <c r="C28" t="s">
        <v>36</v>
      </c>
      <c r="D28" t="s">
        <v>49</v>
      </c>
      <c r="E28">
        <v>27</v>
      </c>
    </row>
    <row r="29" spans="1:5" x14ac:dyDescent="0.35">
      <c r="A29">
        <v>12</v>
      </c>
      <c r="B29" t="s">
        <v>35</v>
      </c>
      <c r="C29" t="s">
        <v>36</v>
      </c>
      <c r="D29" t="s">
        <v>14</v>
      </c>
      <c r="E29">
        <v>15</v>
      </c>
    </row>
    <row r="31" spans="1:5" ht="15" thickBot="1" x14ac:dyDescent="0.4"/>
    <row r="32" spans="1:5" ht="15" thickBot="1" x14ac:dyDescent="0.4">
      <c r="D32" s="76" t="s">
        <v>391</v>
      </c>
      <c r="E32" s="77" t="s">
        <v>392</v>
      </c>
    </row>
    <row r="33" spans="4:5" x14ac:dyDescent="0.35">
      <c r="D33" s="72" t="s">
        <v>393</v>
      </c>
      <c r="E33" s="73" t="s">
        <v>394</v>
      </c>
    </row>
    <row r="34" spans="4:5" x14ac:dyDescent="0.35">
      <c r="D34" s="72" t="s">
        <v>14</v>
      </c>
      <c r="E34" s="73" t="s">
        <v>395</v>
      </c>
    </row>
    <row r="35" spans="4:5" ht="29" x14ac:dyDescent="0.35">
      <c r="D35" s="72" t="s">
        <v>65</v>
      </c>
      <c r="E35" s="73" t="s">
        <v>396</v>
      </c>
    </row>
    <row r="36" spans="4:5" ht="15" thickBot="1" x14ac:dyDescent="0.4">
      <c r="D36" s="74" t="s">
        <v>397</v>
      </c>
      <c r="E36" s="75" t="s">
        <v>47</v>
      </c>
    </row>
    <row r="39" spans="4:5" x14ac:dyDescent="0.35">
      <c r="D39" s="40" t="s">
        <v>403</v>
      </c>
      <c r="E39" s="40" t="s">
        <v>404</v>
      </c>
    </row>
    <row r="40" spans="4:5" x14ac:dyDescent="0.35">
      <c r="D40" s="65" t="s">
        <v>49</v>
      </c>
      <c r="E40" s="65">
        <v>287.39999999999998</v>
      </c>
    </row>
    <row r="41" spans="4:5" x14ac:dyDescent="0.35">
      <c r="D41" s="65" t="s">
        <v>14</v>
      </c>
      <c r="E41" s="83">
        <v>194.48</v>
      </c>
    </row>
    <row r="42" spans="4:5" x14ac:dyDescent="0.35">
      <c r="D42" s="65" t="s">
        <v>65</v>
      </c>
      <c r="E42" s="65">
        <v>93.8</v>
      </c>
    </row>
    <row r="43" spans="4:5" x14ac:dyDescent="0.35">
      <c r="D43" s="65" t="s">
        <v>405</v>
      </c>
      <c r="E43" s="65">
        <v>5.3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selection activeCell="E10" sqref="E10"/>
    </sheetView>
  </sheetViews>
  <sheetFormatPr defaultRowHeight="14.5" x14ac:dyDescent="0.35"/>
  <cols>
    <col min="2" max="2" width="49.08984375" bestFit="1" customWidth="1"/>
    <col min="3" max="3" width="11.6328125" bestFit="1" customWidth="1"/>
    <col min="4" max="4" width="37.6328125" bestFit="1" customWidth="1"/>
    <col min="5" max="5" width="28.26953125" style="2" bestFit="1" customWidth="1"/>
    <col min="6" max="6" width="20.453125" style="8" bestFit="1" customWidth="1"/>
    <col min="8" max="8" width="17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53</v>
      </c>
      <c r="E1" s="1" t="s">
        <v>282</v>
      </c>
      <c r="F1" s="30" t="s">
        <v>54</v>
      </c>
    </row>
    <row r="2" spans="1:6" x14ac:dyDescent="0.35">
      <c r="A2">
        <v>1</v>
      </c>
      <c r="B2" t="s">
        <v>9</v>
      </c>
      <c r="C2" t="s">
        <v>10</v>
      </c>
      <c r="D2" t="s">
        <v>55</v>
      </c>
      <c r="E2" s="2" t="s">
        <v>56</v>
      </c>
      <c r="F2" s="8" t="s">
        <v>11</v>
      </c>
    </row>
    <row r="3" spans="1:6" x14ac:dyDescent="0.35">
      <c r="A3">
        <v>2</v>
      </c>
      <c r="B3" t="s">
        <v>12</v>
      </c>
      <c r="C3" t="s">
        <v>13</v>
      </c>
      <c r="D3" t="s">
        <v>14</v>
      </c>
      <c r="E3" s="2">
        <v>17</v>
      </c>
      <c r="F3" s="8">
        <v>6372244</v>
      </c>
    </row>
    <row r="4" spans="1:6" x14ac:dyDescent="0.35">
      <c r="A4">
        <v>2</v>
      </c>
      <c r="B4" t="s">
        <v>12</v>
      </c>
      <c r="C4" t="s">
        <v>13</v>
      </c>
      <c r="D4" t="s">
        <v>283</v>
      </c>
      <c r="E4" s="2">
        <v>8.91</v>
      </c>
      <c r="F4" s="93">
        <v>15662524</v>
      </c>
    </row>
    <row r="5" spans="1:6" x14ac:dyDescent="0.35">
      <c r="A5">
        <v>2</v>
      </c>
      <c r="B5" t="s">
        <v>12</v>
      </c>
      <c r="C5" t="s">
        <v>13</v>
      </c>
      <c r="D5" t="s">
        <v>283</v>
      </c>
      <c r="E5" s="2">
        <v>1.43</v>
      </c>
      <c r="F5" s="93"/>
    </row>
    <row r="6" spans="1:6" x14ac:dyDescent="0.35">
      <c r="A6">
        <v>2</v>
      </c>
      <c r="B6" t="s">
        <v>12</v>
      </c>
      <c r="C6" t="s">
        <v>13</v>
      </c>
      <c r="D6" t="s">
        <v>285</v>
      </c>
      <c r="E6" s="2">
        <v>6</v>
      </c>
      <c r="F6" s="93"/>
    </row>
    <row r="7" spans="1:6" x14ac:dyDescent="0.35">
      <c r="A7">
        <v>2</v>
      </c>
      <c r="B7" t="s">
        <v>12</v>
      </c>
      <c r="C7" t="s">
        <v>13</v>
      </c>
      <c r="D7" t="s">
        <v>286</v>
      </c>
      <c r="E7" s="2">
        <v>0.39</v>
      </c>
      <c r="F7" s="93"/>
    </row>
    <row r="8" spans="1:6" x14ac:dyDescent="0.35">
      <c r="A8">
        <v>2</v>
      </c>
      <c r="B8" t="s">
        <v>12</v>
      </c>
      <c r="C8" t="s">
        <v>13</v>
      </c>
      <c r="D8" t="s">
        <v>278</v>
      </c>
      <c r="E8" s="2">
        <v>0.46</v>
      </c>
      <c r="F8" s="8">
        <v>549309</v>
      </c>
    </row>
    <row r="9" spans="1:6" x14ac:dyDescent="0.35">
      <c r="A9">
        <v>3</v>
      </c>
      <c r="B9" t="s">
        <v>15</v>
      </c>
      <c r="C9" t="s">
        <v>16</v>
      </c>
      <c r="D9" t="s">
        <v>57</v>
      </c>
      <c r="E9" s="2">
        <v>6.25</v>
      </c>
      <c r="F9" s="8" t="s">
        <v>58</v>
      </c>
    </row>
    <row r="10" spans="1:6" x14ac:dyDescent="0.35">
      <c r="A10">
        <v>4</v>
      </c>
      <c r="B10" t="s">
        <v>18</v>
      </c>
      <c r="C10" t="s">
        <v>19</v>
      </c>
      <c r="D10" t="s">
        <v>59</v>
      </c>
      <c r="E10" s="2">
        <v>7.4999999999999997E-2</v>
      </c>
      <c r="F10" s="8" t="s">
        <v>60</v>
      </c>
    </row>
    <row r="11" spans="1:6" x14ac:dyDescent="0.35">
      <c r="A11">
        <v>5</v>
      </c>
      <c r="B11" t="s">
        <v>20</v>
      </c>
      <c r="C11" t="s">
        <v>21</v>
      </c>
      <c r="D11" t="s">
        <v>61</v>
      </c>
      <c r="E11" s="2" t="s">
        <v>62</v>
      </c>
      <c r="F11" s="8" t="s">
        <v>63</v>
      </c>
    </row>
    <row r="12" spans="1:6" x14ac:dyDescent="0.35">
      <c r="A12">
        <v>6</v>
      </c>
      <c r="B12" t="s">
        <v>22</v>
      </c>
      <c r="C12" t="s">
        <v>23</v>
      </c>
      <c r="D12" t="s">
        <v>61</v>
      </c>
      <c r="E12" s="2" t="s">
        <v>64</v>
      </c>
      <c r="F12" s="8" t="s">
        <v>63</v>
      </c>
    </row>
    <row r="13" spans="1:6" x14ac:dyDescent="0.35">
      <c r="A13">
        <v>7</v>
      </c>
      <c r="B13" t="s">
        <v>24</v>
      </c>
      <c r="C13" t="s">
        <v>25</v>
      </c>
      <c r="D13" t="s">
        <v>65</v>
      </c>
      <c r="E13" s="2" t="s">
        <v>66</v>
      </c>
      <c r="F13" s="8" t="s">
        <v>11</v>
      </c>
    </row>
    <row r="14" spans="1:6" x14ac:dyDescent="0.35">
      <c r="A14">
        <v>8</v>
      </c>
      <c r="B14" t="s">
        <v>27</v>
      </c>
      <c r="C14" t="s">
        <v>28</v>
      </c>
      <c r="D14" t="s">
        <v>284</v>
      </c>
      <c r="E14" s="2">
        <v>10.68</v>
      </c>
      <c r="F14" s="93">
        <v>4549520</v>
      </c>
    </row>
    <row r="15" spans="1:6" x14ac:dyDescent="0.35">
      <c r="A15">
        <v>8</v>
      </c>
      <c r="B15" t="s">
        <v>27</v>
      </c>
      <c r="C15" t="s">
        <v>28</v>
      </c>
      <c r="D15" t="s">
        <v>288</v>
      </c>
      <c r="E15" s="2">
        <v>8.75</v>
      </c>
      <c r="F15" s="93"/>
    </row>
    <row r="16" spans="1:6" x14ac:dyDescent="0.35">
      <c r="A16">
        <v>8</v>
      </c>
      <c r="B16" t="s">
        <v>27</v>
      </c>
      <c r="C16" t="s">
        <v>28</v>
      </c>
      <c r="D16" t="s">
        <v>287</v>
      </c>
      <c r="E16" s="2">
        <v>31</v>
      </c>
      <c r="F16" s="8">
        <v>19870922</v>
      </c>
    </row>
    <row r="17" spans="1:6" x14ac:dyDescent="0.35">
      <c r="A17">
        <v>9</v>
      </c>
      <c r="B17" t="s">
        <v>30</v>
      </c>
      <c r="C17" t="s">
        <v>31</v>
      </c>
      <c r="D17" t="s">
        <v>14</v>
      </c>
      <c r="E17" s="2">
        <v>31</v>
      </c>
      <c r="F17" s="8">
        <v>142945194.80000001</v>
      </c>
    </row>
    <row r="18" spans="1:6" x14ac:dyDescent="0.35">
      <c r="A18">
        <v>9</v>
      </c>
      <c r="B18" t="s">
        <v>30</v>
      </c>
      <c r="C18" t="s">
        <v>31</v>
      </c>
      <c r="D18" t="s">
        <v>277</v>
      </c>
      <c r="E18" s="2">
        <v>15</v>
      </c>
      <c r="F18" s="8">
        <v>19030100</v>
      </c>
    </row>
    <row r="19" spans="1:6" x14ac:dyDescent="0.35">
      <c r="A19">
        <v>9</v>
      </c>
      <c r="B19" t="s">
        <v>30</v>
      </c>
      <c r="C19" t="s">
        <v>31</v>
      </c>
      <c r="D19" t="s">
        <v>279</v>
      </c>
      <c r="E19" s="2">
        <v>30</v>
      </c>
      <c r="F19" s="8">
        <v>0</v>
      </c>
    </row>
    <row r="20" spans="1:6" x14ac:dyDescent="0.35">
      <c r="A20">
        <v>9</v>
      </c>
      <c r="B20" t="s">
        <v>30</v>
      </c>
      <c r="C20" t="s">
        <v>31</v>
      </c>
      <c r="D20" t="s">
        <v>280</v>
      </c>
      <c r="E20" s="2">
        <v>30</v>
      </c>
      <c r="F20" s="8">
        <v>0</v>
      </c>
    </row>
    <row r="21" spans="1:6" x14ac:dyDescent="0.35">
      <c r="A21">
        <v>10</v>
      </c>
      <c r="B21" t="s">
        <v>32</v>
      </c>
      <c r="C21" t="s">
        <v>33</v>
      </c>
      <c r="D21" t="s">
        <v>281</v>
      </c>
      <c r="E21" s="2">
        <v>8.5</v>
      </c>
      <c r="F21" s="8">
        <v>13716.4</v>
      </c>
    </row>
    <row r="22" spans="1:6" x14ac:dyDescent="0.35">
      <c r="A22">
        <v>10</v>
      </c>
      <c r="B22" t="s">
        <v>32</v>
      </c>
      <c r="C22" t="s">
        <v>33</v>
      </c>
      <c r="D22" t="s">
        <v>289</v>
      </c>
      <c r="E22" s="2">
        <v>5</v>
      </c>
      <c r="F22" s="8">
        <v>9162.18</v>
      </c>
    </row>
  </sheetData>
  <mergeCells count="2">
    <mergeCell ref="F4:F7"/>
    <mergeCell ref="F14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"/>
  <sheetViews>
    <sheetView topLeftCell="B9" zoomScale="85" zoomScaleNormal="85" workbookViewId="0">
      <selection activeCell="G15" sqref="G15:I24"/>
    </sheetView>
  </sheetViews>
  <sheetFormatPr defaultRowHeight="14.5" x14ac:dyDescent="0.35"/>
  <cols>
    <col min="2" max="2" width="49.08984375" bestFit="1" customWidth="1"/>
    <col min="3" max="3" width="11.6328125" bestFit="1" customWidth="1"/>
    <col min="4" max="5" width="27.08984375" bestFit="1" customWidth="1"/>
    <col min="10" max="10" width="49.08984375" bestFit="1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67</v>
      </c>
      <c r="E1" s="1" t="s">
        <v>68</v>
      </c>
      <c r="G1" s="38" t="s">
        <v>390</v>
      </c>
      <c r="H1" s="38" t="s">
        <v>69</v>
      </c>
      <c r="I1" s="38" t="s">
        <v>294</v>
      </c>
      <c r="J1" s="38" t="s">
        <v>291</v>
      </c>
      <c r="K1" s="38" t="s">
        <v>296</v>
      </c>
      <c r="L1" s="38" t="s">
        <v>420</v>
      </c>
    </row>
    <row r="2" spans="1:12" x14ac:dyDescent="0.35">
      <c r="A2">
        <v>1</v>
      </c>
      <c r="B2" t="s">
        <v>9</v>
      </c>
      <c r="C2" t="s">
        <v>10</v>
      </c>
      <c r="D2" t="s">
        <v>290</v>
      </c>
      <c r="E2" s="31">
        <v>0.6</v>
      </c>
      <c r="G2" s="34" t="s">
        <v>132</v>
      </c>
      <c r="H2" s="34">
        <v>52.37</v>
      </c>
      <c r="I2" s="34">
        <v>0</v>
      </c>
      <c r="J2" s="34">
        <v>4.5199999999999996</v>
      </c>
      <c r="K2" s="34">
        <v>5.49</v>
      </c>
      <c r="L2" s="92">
        <v>62.38</v>
      </c>
    </row>
    <row r="3" spans="1:12" x14ac:dyDescent="0.35">
      <c r="A3">
        <v>1</v>
      </c>
      <c r="B3" t="s">
        <v>9</v>
      </c>
      <c r="C3" t="s">
        <v>10</v>
      </c>
      <c r="D3" t="s">
        <v>69</v>
      </c>
      <c r="E3" s="31">
        <v>0.35</v>
      </c>
      <c r="G3" s="34" t="s">
        <v>10</v>
      </c>
      <c r="H3" s="34">
        <v>35</v>
      </c>
      <c r="I3" s="34">
        <v>0</v>
      </c>
      <c r="J3" s="34">
        <v>5</v>
      </c>
      <c r="K3" s="34">
        <v>0</v>
      </c>
      <c r="L3" s="92">
        <v>40</v>
      </c>
    </row>
    <row r="4" spans="1:12" x14ac:dyDescent="0.35">
      <c r="A4">
        <v>1</v>
      </c>
      <c r="B4" t="s">
        <v>9</v>
      </c>
      <c r="C4" t="s">
        <v>10</v>
      </c>
      <c r="D4" t="s">
        <v>291</v>
      </c>
      <c r="E4" s="31">
        <v>0.05</v>
      </c>
      <c r="G4" s="34" t="s">
        <v>36</v>
      </c>
      <c r="H4" s="34">
        <v>35</v>
      </c>
      <c r="I4" s="34">
        <v>0</v>
      </c>
      <c r="J4" s="34">
        <v>3</v>
      </c>
      <c r="K4" s="34">
        <v>0</v>
      </c>
      <c r="L4" s="92">
        <v>38</v>
      </c>
    </row>
    <row r="5" spans="1:12" x14ac:dyDescent="0.35">
      <c r="A5">
        <v>3</v>
      </c>
      <c r="B5" t="s">
        <v>15</v>
      </c>
      <c r="C5" t="s">
        <v>16</v>
      </c>
      <c r="D5" t="s">
        <v>69</v>
      </c>
      <c r="E5" s="32">
        <v>3.5000000000000001E-3</v>
      </c>
      <c r="G5" s="34" t="s">
        <v>25</v>
      </c>
      <c r="H5" s="34">
        <v>34.590000000000003</v>
      </c>
      <c r="I5" s="34">
        <v>4.76</v>
      </c>
      <c r="J5" s="34">
        <v>0</v>
      </c>
      <c r="K5" s="34">
        <v>0</v>
      </c>
      <c r="L5" s="92">
        <v>39.35</v>
      </c>
    </row>
    <row r="6" spans="1:12" x14ac:dyDescent="0.35">
      <c r="A6">
        <v>4</v>
      </c>
      <c r="B6" t="s">
        <v>18</v>
      </c>
      <c r="C6" t="s">
        <v>19</v>
      </c>
      <c r="D6" t="s">
        <v>69</v>
      </c>
      <c r="E6" s="32">
        <v>3.2299999999999998E-3</v>
      </c>
      <c r="G6" s="34" t="s">
        <v>410</v>
      </c>
      <c r="H6" s="34">
        <v>30.01</v>
      </c>
      <c r="I6" s="34">
        <v>0</v>
      </c>
      <c r="J6" s="34">
        <v>4.3</v>
      </c>
      <c r="K6" s="34">
        <v>0</v>
      </c>
      <c r="L6" s="92">
        <v>34.31</v>
      </c>
    </row>
    <row r="7" spans="1:12" x14ac:dyDescent="0.35">
      <c r="A7">
        <v>5</v>
      </c>
      <c r="B7" t="s">
        <v>20</v>
      </c>
      <c r="C7" t="s">
        <v>21</v>
      </c>
      <c r="D7" t="s">
        <v>69</v>
      </c>
      <c r="E7" s="32">
        <v>0.30009999999999998</v>
      </c>
      <c r="G7" s="34" t="s">
        <v>411</v>
      </c>
      <c r="H7" s="34">
        <v>30.01</v>
      </c>
      <c r="I7" s="34">
        <v>0</v>
      </c>
      <c r="J7" s="34">
        <v>4.3</v>
      </c>
      <c r="K7" s="34">
        <v>0</v>
      </c>
      <c r="L7" s="92">
        <v>34.31</v>
      </c>
    </row>
    <row r="8" spans="1:12" x14ac:dyDescent="0.35">
      <c r="A8">
        <v>5</v>
      </c>
      <c r="B8" t="s">
        <v>20</v>
      </c>
      <c r="C8" t="s">
        <v>21</v>
      </c>
      <c r="D8" t="s">
        <v>291</v>
      </c>
      <c r="E8" s="32">
        <v>4.2999999999999997E-2</v>
      </c>
      <c r="G8" s="34" t="s">
        <v>28</v>
      </c>
      <c r="H8" s="34">
        <v>20.11</v>
      </c>
      <c r="I8" s="34">
        <v>1.91</v>
      </c>
      <c r="J8" s="34">
        <v>1.89</v>
      </c>
      <c r="K8" s="34">
        <v>0</v>
      </c>
      <c r="L8" s="92">
        <v>23.91</v>
      </c>
    </row>
    <row r="9" spans="1:12" x14ac:dyDescent="0.35">
      <c r="A9">
        <v>5</v>
      </c>
      <c r="B9" t="s">
        <v>20</v>
      </c>
      <c r="C9" t="s">
        <v>21</v>
      </c>
      <c r="D9" t="s">
        <v>293</v>
      </c>
      <c r="E9" s="31">
        <v>0</v>
      </c>
      <c r="G9" s="34" t="s">
        <v>16</v>
      </c>
      <c r="H9" s="34">
        <v>0.35</v>
      </c>
      <c r="I9" s="34">
        <v>0</v>
      </c>
      <c r="J9" s="34">
        <v>0</v>
      </c>
      <c r="K9" s="34">
        <v>0</v>
      </c>
      <c r="L9" s="92">
        <v>0.35</v>
      </c>
    </row>
    <row r="10" spans="1:12" x14ac:dyDescent="0.35">
      <c r="A10">
        <v>6</v>
      </c>
      <c r="B10" t="s">
        <v>22</v>
      </c>
      <c r="C10" t="s">
        <v>23</v>
      </c>
      <c r="D10" t="s">
        <v>69</v>
      </c>
      <c r="E10" s="32">
        <v>0.30009999999999998</v>
      </c>
      <c r="G10" s="34" t="s">
        <v>19</v>
      </c>
      <c r="H10" s="34">
        <v>0.32</v>
      </c>
      <c r="I10" s="34">
        <v>0</v>
      </c>
      <c r="J10" s="34">
        <v>0</v>
      </c>
      <c r="K10" s="34">
        <v>0</v>
      </c>
      <c r="L10" s="92">
        <v>0.32</v>
      </c>
    </row>
    <row r="11" spans="1:12" x14ac:dyDescent="0.35">
      <c r="A11">
        <v>6</v>
      </c>
      <c r="B11" t="s">
        <v>22</v>
      </c>
      <c r="C11" t="s">
        <v>23</v>
      </c>
      <c r="D11" t="s">
        <v>291</v>
      </c>
      <c r="E11" s="32">
        <v>4.2999999999999997E-2</v>
      </c>
    </row>
    <row r="12" spans="1:12" x14ac:dyDescent="0.35">
      <c r="A12">
        <v>6</v>
      </c>
      <c r="B12" t="s">
        <v>22</v>
      </c>
      <c r="C12" t="s">
        <v>23</v>
      </c>
      <c r="D12" t="s">
        <v>293</v>
      </c>
      <c r="E12" s="31">
        <v>0</v>
      </c>
    </row>
    <row r="13" spans="1:12" x14ac:dyDescent="0.35">
      <c r="A13">
        <v>7</v>
      </c>
      <c r="B13" t="s">
        <v>24</v>
      </c>
      <c r="C13" t="s">
        <v>25</v>
      </c>
      <c r="D13" t="s">
        <v>69</v>
      </c>
      <c r="E13" s="32">
        <v>0.34589999999999999</v>
      </c>
    </row>
    <row r="14" spans="1:12" x14ac:dyDescent="0.35">
      <c r="A14">
        <v>7</v>
      </c>
      <c r="B14" t="s">
        <v>24</v>
      </c>
      <c r="C14" t="s">
        <v>25</v>
      </c>
      <c r="D14" t="s">
        <v>294</v>
      </c>
      <c r="E14" s="32">
        <v>4.7600000000000003E-2</v>
      </c>
    </row>
    <row r="15" spans="1:12" x14ac:dyDescent="0.35">
      <c r="A15">
        <v>8</v>
      </c>
      <c r="B15" t="s">
        <v>27</v>
      </c>
      <c r="C15" t="s">
        <v>28</v>
      </c>
      <c r="D15" t="s">
        <v>69</v>
      </c>
      <c r="E15" s="32">
        <v>0.2011</v>
      </c>
    </row>
    <row r="16" spans="1:12" x14ac:dyDescent="0.35">
      <c r="A16">
        <v>8</v>
      </c>
      <c r="B16" t="s">
        <v>27</v>
      </c>
      <c r="C16" t="s">
        <v>28</v>
      </c>
      <c r="D16" t="s">
        <v>291</v>
      </c>
      <c r="E16" s="32">
        <v>1.89E-2</v>
      </c>
      <c r="J16" s="94" t="s">
        <v>9</v>
      </c>
      <c r="K16" s="99">
        <v>0.8</v>
      </c>
    </row>
    <row r="17" spans="1:11" x14ac:dyDescent="0.35">
      <c r="A17">
        <v>8</v>
      </c>
      <c r="B17" t="s">
        <v>27</v>
      </c>
      <c r="C17" t="s">
        <v>28</v>
      </c>
      <c r="D17" t="s">
        <v>295</v>
      </c>
      <c r="E17" s="32">
        <v>1.9099999999999999E-2</v>
      </c>
      <c r="J17" s="94" t="s">
        <v>12</v>
      </c>
      <c r="K17" s="99">
        <v>0.71040000000000003</v>
      </c>
    </row>
    <row r="18" spans="1:11" x14ac:dyDescent="0.35">
      <c r="A18">
        <v>11</v>
      </c>
      <c r="B18" t="s">
        <v>34</v>
      </c>
      <c r="C18" t="s">
        <v>132</v>
      </c>
      <c r="D18" t="s">
        <v>291</v>
      </c>
      <c r="E18" s="32">
        <v>4.5199999999999997E-2</v>
      </c>
      <c r="J18" s="94" t="s">
        <v>15</v>
      </c>
      <c r="K18" s="99">
        <v>0.63</v>
      </c>
    </row>
    <row r="19" spans="1:11" ht="15.5" x14ac:dyDescent="0.35">
      <c r="A19">
        <v>11</v>
      </c>
      <c r="B19" t="s">
        <v>34</v>
      </c>
      <c r="C19" t="s">
        <v>132</v>
      </c>
      <c r="D19" t="s">
        <v>296</v>
      </c>
      <c r="E19" s="32">
        <v>5.4899999999999997E-2</v>
      </c>
      <c r="J19" s="95" t="s">
        <v>18</v>
      </c>
      <c r="K19" s="99">
        <v>0.69389999999999996</v>
      </c>
    </row>
    <row r="20" spans="1:11" x14ac:dyDescent="0.35">
      <c r="A20">
        <v>11</v>
      </c>
      <c r="B20" t="s">
        <v>34</v>
      </c>
      <c r="C20" t="s">
        <v>132</v>
      </c>
      <c r="D20" t="s">
        <v>69</v>
      </c>
      <c r="E20" s="32">
        <v>0.52370000000000005</v>
      </c>
      <c r="J20" s="94" t="s">
        <v>20</v>
      </c>
      <c r="K20" s="99">
        <v>0.67889999999999995</v>
      </c>
    </row>
    <row r="21" spans="1:11" x14ac:dyDescent="0.35">
      <c r="A21">
        <v>12</v>
      </c>
      <c r="B21" t="s">
        <v>35</v>
      </c>
      <c r="C21" t="s">
        <v>36</v>
      </c>
      <c r="D21" t="s">
        <v>290</v>
      </c>
      <c r="E21" s="31">
        <v>0.62</v>
      </c>
      <c r="J21" s="94" t="s">
        <v>22</v>
      </c>
      <c r="K21" s="99">
        <v>67.89</v>
      </c>
    </row>
    <row r="22" spans="1:11" x14ac:dyDescent="0.35">
      <c r="A22">
        <v>12</v>
      </c>
      <c r="B22" t="s">
        <v>35</v>
      </c>
      <c r="C22" t="s">
        <v>36</v>
      </c>
      <c r="D22" t="s">
        <v>291</v>
      </c>
      <c r="E22" s="31">
        <v>0.03</v>
      </c>
      <c r="J22" s="94" t="s">
        <v>24</v>
      </c>
      <c r="K22" s="99">
        <v>93.76</v>
      </c>
    </row>
    <row r="23" spans="1:11" x14ac:dyDescent="0.35">
      <c r="A23">
        <v>12</v>
      </c>
      <c r="B23" t="s">
        <v>35</v>
      </c>
      <c r="C23" t="s">
        <v>36</v>
      </c>
      <c r="D23" t="s">
        <v>297</v>
      </c>
      <c r="E23" s="31">
        <v>0.35</v>
      </c>
      <c r="J23" s="94" t="s">
        <v>27</v>
      </c>
      <c r="K23" s="99">
        <v>76.099999999999994</v>
      </c>
    </row>
    <row r="24" spans="1:11" x14ac:dyDescent="0.35">
      <c r="J24" s="94" t="s">
        <v>30</v>
      </c>
      <c r="K24" s="99">
        <v>72.12</v>
      </c>
    </row>
    <row r="25" spans="1:11" x14ac:dyDescent="0.35">
      <c r="J25" s="94" t="s">
        <v>32</v>
      </c>
      <c r="K25" s="100"/>
    </row>
    <row r="26" spans="1:11" x14ac:dyDescent="0.35">
      <c r="J26" s="94" t="s">
        <v>34</v>
      </c>
      <c r="K26" s="99">
        <v>0.61519999999999997</v>
      </c>
    </row>
    <row r="27" spans="1:11" x14ac:dyDescent="0.35">
      <c r="J27" s="94" t="s">
        <v>35</v>
      </c>
      <c r="K27" s="99">
        <v>66.44</v>
      </c>
    </row>
  </sheetData>
  <pageMargins left="0.75" right="0.75" top="1" bottom="1" header="0.5" footer="0.5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9"/>
  <sheetViews>
    <sheetView topLeftCell="B1" workbookViewId="0">
      <selection activeCell="G5" sqref="G5"/>
    </sheetView>
  </sheetViews>
  <sheetFormatPr defaultRowHeight="14.5" x14ac:dyDescent="0.35"/>
  <cols>
    <col min="2" max="2" width="49.08984375" bestFit="1" customWidth="1"/>
    <col min="3" max="3" width="11.6328125" bestFit="1" customWidth="1"/>
    <col min="4" max="4" width="29.26953125" bestFit="1" customWidth="1"/>
    <col min="5" max="7" width="21.1796875" bestFit="1" customWidth="1"/>
    <col min="8" max="8" width="39" customWidth="1"/>
    <col min="9" max="9" width="34.089843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9" x14ac:dyDescent="0.35">
      <c r="A2">
        <v>1</v>
      </c>
      <c r="B2" t="s">
        <v>9</v>
      </c>
      <c r="C2" t="s">
        <v>10</v>
      </c>
      <c r="D2" t="s">
        <v>69</v>
      </c>
      <c r="E2" s="2" t="s">
        <v>11</v>
      </c>
      <c r="F2" s="2">
        <v>102562</v>
      </c>
      <c r="G2" s="2">
        <v>101865</v>
      </c>
      <c r="H2" s="33"/>
      <c r="I2" s="33"/>
    </row>
    <row r="3" spans="1:9" x14ac:dyDescent="0.35">
      <c r="A3">
        <v>1</v>
      </c>
      <c r="B3" t="s">
        <v>9</v>
      </c>
      <c r="C3" t="s">
        <v>10</v>
      </c>
      <c r="D3" t="s">
        <v>298</v>
      </c>
      <c r="E3" s="2" t="s">
        <v>11</v>
      </c>
      <c r="F3" s="2" t="s">
        <v>11</v>
      </c>
      <c r="G3" s="2" t="s">
        <v>11</v>
      </c>
    </row>
    <row r="4" spans="1:9" x14ac:dyDescent="0.35">
      <c r="A4">
        <v>1</v>
      </c>
      <c r="B4" t="s">
        <v>9</v>
      </c>
      <c r="C4" t="s">
        <v>10</v>
      </c>
      <c r="D4" t="s">
        <v>299</v>
      </c>
      <c r="E4" s="2" t="s">
        <v>11</v>
      </c>
      <c r="F4" s="2" t="s">
        <v>11</v>
      </c>
      <c r="G4" s="2" t="s">
        <v>11</v>
      </c>
    </row>
    <row r="5" spans="1:9" x14ac:dyDescent="0.35">
      <c r="A5">
        <v>1</v>
      </c>
      <c r="B5" t="s">
        <v>9</v>
      </c>
      <c r="C5" t="s">
        <v>10</v>
      </c>
      <c r="D5" t="s">
        <v>300</v>
      </c>
      <c r="E5" s="2" t="s">
        <v>11</v>
      </c>
      <c r="F5" s="2" t="s">
        <v>11</v>
      </c>
      <c r="G5" s="2">
        <v>2719.31</v>
      </c>
    </row>
    <row r="6" spans="1:9" x14ac:dyDescent="0.35">
      <c r="A6">
        <v>2</v>
      </c>
      <c r="B6" t="s">
        <v>12</v>
      </c>
      <c r="C6" t="s">
        <v>13</v>
      </c>
      <c r="D6" t="s">
        <v>301</v>
      </c>
      <c r="E6" s="2">
        <v>12875.56</v>
      </c>
      <c r="F6" s="2">
        <v>13643.22</v>
      </c>
      <c r="G6" s="2">
        <v>3916.1109999999999</v>
      </c>
    </row>
    <row r="7" spans="1:9" x14ac:dyDescent="0.35">
      <c r="A7">
        <v>2</v>
      </c>
      <c r="B7" t="s">
        <v>12</v>
      </c>
      <c r="C7" t="s">
        <v>13</v>
      </c>
      <c r="D7" t="s">
        <v>302</v>
      </c>
      <c r="E7" s="2">
        <v>5067.0200000000004</v>
      </c>
      <c r="F7" s="2">
        <v>22726.69</v>
      </c>
      <c r="G7" s="2">
        <v>25532.092000000001</v>
      </c>
    </row>
    <row r="8" spans="1:9" x14ac:dyDescent="0.35">
      <c r="A8">
        <v>2</v>
      </c>
      <c r="B8" t="s">
        <v>12</v>
      </c>
      <c r="C8" t="s">
        <v>13</v>
      </c>
      <c r="D8" t="s">
        <v>303</v>
      </c>
      <c r="E8" s="2">
        <v>5254.3</v>
      </c>
      <c r="F8" s="2">
        <v>19842.18</v>
      </c>
      <c r="G8" s="2">
        <v>33169.091999999997</v>
      </c>
    </row>
    <row r="9" spans="1:9" x14ac:dyDescent="0.35">
      <c r="A9">
        <v>2</v>
      </c>
      <c r="B9" t="s">
        <v>12</v>
      </c>
      <c r="C9" t="s">
        <v>13</v>
      </c>
      <c r="D9" t="s">
        <v>304</v>
      </c>
      <c r="E9" s="2">
        <v>42184.59</v>
      </c>
      <c r="F9" s="2">
        <v>17686.48</v>
      </c>
      <c r="G9" s="2">
        <v>313.81</v>
      </c>
    </row>
    <row r="10" spans="1:9" x14ac:dyDescent="0.35">
      <c r="A10">
        <v>2</v>
      </c>
      <c r="B10" t="s">
        <v>12</v>
      </c>
      <c r="C10" t="s">
        <v>13</v>
      </c>
      <c r="D10" t="s">
        <v>305</v>
      </c>
      <c r="E10" s="2">
        <v>18452.02</v>
      </c>
      <c r="F10" s="2">
        <v>15941.95</v>
      </c>
      <c r="G10" s="2">
        <v>14650.93</v>
      </c>
    </row>
    <row r="11" spans="1:9" x14ac:dyDescent="0.35">
      <c r="A11">
        <v>2</v>
      </c>
      <c r="B11" t="s">
        <v>12</v>
      </c>
      <c r="C11" t="s">
        <v>13</v>
      </c>
      <c r="D11" t="s">
        <v>306</v>
      </c>
      <c r="E11" s="2">
        <v>214.517</v>
      </c>
      <c r="F11" s="2">
        <v>835.71500000000003</v>
      </c>
      <c r="G11" s="2">
        <v>174.37299999999999</v>
      </c>
    </row>
    <row r="12" spans="1:9" x14ac:dyDescent="0.35">
      <c r="A12">
        <v>2</v>
      </c>
      <c r="B12" t="s">
        <v>12</v>
      </c>
      <c r="C12" t="s">
        <v>13</v>
      </c>
      <c r="D12" t="s">
        <v>307</v>
      </c>
      <c r="E12" s="2">
        <v>0</v>
      </c>
      <c r="F12" s="2">
        <v>332.57</v>
      </c>
      <c r="G12" s="2">
        <v>290.8</v>
      </c>
    </row>
    <row r="13" spans="1:9" x14ac:dyDescent="0.35">
      <c r="A13">
        <v>2</v>
      </c>
      <c r="B13" t="s">
        <v>12</v>
      </c>
      <c r="C13" t="s">
        <v>13</v>
      </c>
      <c r="D13" t="s">
        <v>308</v>
      </c>
      <c r="E13" s="2">
        <v>0</v>
      </c>
      <c r="F13" s="2">
        <v>1538.27</v>
      </c>
      <c r="G13" s="2">
        <v>0</v>
      </c>
    </row>
    <row r="14" spans="1:9" x14ac:dyDescent="0.35">
      <c r="A14">
        <v>2</v>
      </c>
      <c r="B14" t="s">
        <v>12</v>
      </c>
      <c r="C14" t="s">
        <v>13</v>
      </c>
      <c r="D14" t="s">
        <v>309</v>
      </c>
      <c r="E14" s="2">
        <v>0</v>
      </c>
      <c r="F14" s="2">
        <v>893.56799999999998</v>
      </c>
      <c r="G14" s="2">
        <v>0</v>
      </c>
    </row>
    <row r="15" spans="1:9" x14ac:dyDescent="0.35">
      <c r="A15">
        <v>3</v>
      </c>
      <c r="B15" t="s">
        <v>15</v>
      </c>
      <c r="C15" t="s">
        <v>16</v>
      </c>
      <c r="D15" t="s">
        <v>69</v>
      </c>
      <c r="E15" s="2">
        <v>618798.30000000005</v>
      </c>
      <c r="F15" s="2">
        <v>605882.07999999996</v>
      </c>
      <c r="G15" s="2">
        <v>546936.94999999995</v>
      </c>
    </row>
    <row r="16" spans="1:9" x14ac:dyDescent="0.35">
      <c r="A16">
        <v>3</v>
      </c>
      <c r="B16" t="s">
        <v>15</v>
      </c>
      <c r="C16" t="s">
        <v>16</v>
      </c>
      <c r="D16" t="s">
        <v>310</v>
      </c>
      <c r="E16" s="2">
        <v>57242</v>
      </c>
      <c r="F16" s="2">
        <v>105950.52</v>
      </c>
      <c r="G16" s="2">
        <v>122705.71</v>
      </c>
    </row>
    <row r="17" spans="1:7" x14ac:dyDescent="0.35">
      <c r="A17">
        <v>3</v>
      </c>
      <c r="B17" t="s">
        <v>15</v>
      </c>
      <c r="C17" t="s">
        <v>16</v>
      </c>
      <c r="D17" t="s">
        <v>311</v>
      </c>
      <c r="E17" s="2">
        <v>19205.400000000001</v>
      </c>
      <c r="F17" s="2">
        <v>23314.37</v>
      </c>
      <c r="G17" s="2">
        <v>5072.92</v>
      </c>
    </row>
    <row r="18" spans="1:7" x14ac:dyDescent="0.35">
      <c r="A18">
        <v>4</v>
      </c>
      <c r="B18" t="s">
        <v>18</v>
      </c>
      <c r="C18" t="s">
        <v>19</v>
      </c>
      <c r="D18" t="s">
        <v>69</v>
      </c>
      <c r="E18" s="2" t="s">
        <v>11</v>
      </c>
      <c r="F18" s="2">
        <v>348468.79700000002</v>
      </c>
      <c r="G18" s="2">
        <v>389392.6</v>
      </c>
    </row>
    <row r="19" spans="1:7" x14ac:dyDescent="0.35">
      <c r="A19">
        <v>4</v>
      </c>
      <c r="B19" t="s">
        <v>18</v>
      </c>
      <c r="C19" t="s">
        <v>19</v>
      </c>
      <c r="D19" t="s">
        <v>291</v>
      </c>
      <c r="E19" s="2" t="s">
        <v>11</v>
      </c>
      <c r="F19" s="2">
        <v>198138.19699999999</v>
      </c>
      <c r="G19" s="2">
        <v>76799.210000000006</v>
      </c>
    </row>
    <row r="20" spans="1:7" x14ac:dyDescent="0.35">
      <c r="A20">
        <v>4</v>
      </c>
      <c r="B20" t="s">
        <v>18</v>
      </c>
      <c r="C20" t="s">
        <v>19</v>
      </c>
      <c r="D20" t="s">
        <v>310</v>
      </c>
      <c r="E20" s="2" t="s">
        <v>11</v>
      </c>
      <c r="F20" s="2" t="s">
        <v>11</v>
      </c>
      <c r="G20" s="2">
        <v>282.89999999999998</v>
      </c>
    </row>
    <row r="21" spans="1:7" x14ac:dyDescent="0.35">
      <c r="A21">
        <v>4</v>
      </c>
      <c r="B21" t="s">
        <v>18</v>
      </c>
      <c r="C21" t="s">
        <v>19</v>
      </c>
      <c r="D21" t="s">
        <v>292</v>
      </c>
      <c r="E21" s="2" t="s">
        <v>11</v>
      </c>
      <c r="F21" s="2" t="s">
        <v>11</v>
      </c>
      <c r="G21" s="2" t="s">
        <v>11</v>
      </c>
    </row>
    <row r="22" spans="1:7" x14ac:dyDescent="0.35">
      <c r="A22">
        <v>4</v>
      </c>
      <c r="B22" t="s">
        <v>18</v>
      </c>
      <c r="C22" t="s">
        <v>19</v>
      </c>
      <c r="D22" t="s">
        <v>312</v>
      </c>
      <c r="E22" s="2" t="s">
        <v>11</v>
      </c>
      <c r="F22" s="2">
        <v>661.64499999999998</v>
      </c>
      <c r="G22" s="2">
        <v>1623</v>
      </c>
    </row>
    <row r="23" spans="1:7" x14ac:dyDescent="0.35">
      <c r="A23">
        <v>4</v>
      </c>
      <c r="B23" t="s">
        <v>18</v>
      </c>
      <c r="C23" t="s">
        <v>19</v>
      </c>
      <c r="D23" t="s">
        <v>313</v>
      </c>
      <c r="E23" s="2" t="s">
        <v>11</v>
      </c>
      <c r="F23" s="2" t="s">
        <v>11</v>
      </c>
      <c r="G23" s="2">
        <v>2195.3150000000001</v>
      </c>
    </row>
    <row r="24" spans="1:7" x14ac:dyDescent="0.35">
      <c r="A24">
        <v>5</v>
      </c>
      <c r="B24" t="s">
        <v>20</v>
      </c>
      <c r="C24" t="s">
        <v>21</v>
      </c>
      <c r="D24" t="s">
        <v>299</v>
      </c>
      <c r="E24" s="2">
        <v>0</v>
      </c>
      <c r="F24" s="2">
        <v>0</v>
      </c>
      <c r="G24" s="2">
        <v>2150</v>
      </c>
    </row>
    <row r="25" spans="1:7" x14ac:dyDescent="0.35">
      <c r="A25">
        <v>5</v>
      </c>
      <c r="B25" t="s">
        <v>20</v>
      </c>
      <c r="C25" t="s">
        <v>21</v>
      </c>
      <c r="D25" t="s">
        <v>69</v>
      </c>
      <c r="E25" s="2">
        <v>524409</v>
      </c>
      <c r="F25" s="2">
        <v>543062</v>
      </c>
      <c r="G25" s="2">
        <v>512642</v>
      </c>
    </row>
    <row r="26" spans="1:7" x14ac:dyDescent="0.35">
      <c r="A26">
        <v>5</v>
      </c>
      <c r="B26" t="s">
        <v>20</v>
      </c>
      <c r="C26" t="s">
        <v>21</v>
      </c>
      <c r="D26" t="s">
        <v>314</v>
      </c>
      <c r="E26" s="2">
        <v>0</v>
      </c>
      <c r="F26" s="2">
        <v>0</v>
      </c>
      <c r="G26" s="2">
        <v>11921</v>
      </c>
    </row>
    <row r="27" spans="1:7" x14ac:dyDescent="0.35">
      <c r="A27">
        <v>6</v>
      </c>
      <c r="B27" t="s">
        <v>22</v>
      </c>
      <c r="C27" t="s">
        <v>23</v>
      </c>
      <c r="D27" t="s">
        <v>310</v>
      </c>
      <c r="E27" s="2">
        <v>3960</v>
      </c>
      <c r="F27" s="2">
        <v>3807</v>
      </c>
      <c r="G27" s="2" t="s">
        <v>11</v>
      </c>
    </row>
    <row r="28" spans="1:7" x14ac:dyDescent="0.35">
      <c r="A28">
        <v>6</v>
      </c>
      <c r="B28" t="s">
        <v>22</v>
      </c>
      <c r="C28" t="s">
        <v>23</v>
      </c>
      <c r="D28" t="s">
        <v>299</v>
      </c>
      <c r="E28" s="2">
        <v>5270</v>
      </c>
      <c r="F28" s="2">
        <v>2122</v>
      </c>
      <c r="G28" s="2">
        <v>18976</v>
      </c>
    </row>
    <row r="29" spans="1:7" x14ac:dyDescent="0.35">
      <c r="A29">
        <v>6</v>
      </c>
      <c r="B29" t="s">
        <v>22</v>
      </c>
      <c r="C29" t="s">
        <v>23</v>
      </c>
      <c r="D29" t="s">
        <v>69</v>
      </c>
      <c r="E29" s="2">
        <v>923068</v>
      </c>
      <c r="F29" s="2">
        <v>1010363</v>
      </c>
      <c r="G29" s="2">
        <v>961245</v>
      </c>
    </row>
    <row r="30" spans="1:7" x14ac:dyDescent="0.35">
      <c r="A30">
        <v>6</v>
      </c>
      <c r="B30" t="s">
        <v>22</v>
      </c>
      <c r="C30" t="s">
        <v>23</v>
      </c>
      <c r="D30" t="s">
        <v>315</v>
      </c>
      <c r="E30" s="2">
        <v>0</v>
      </c>
      <c r="F30" s="2">
        <v>0</v>
      </c>
      <c r="G30" s="2">
        <v>19244</v>
      </c>
    </row>
    <row r="31" spans="1:7" x14ac:dyDescent="0.35">
      <c r="A31">
        <v>7</v>
      </c>
      <c r="B31" t="s">
        <v>24</v>
      </c>
      <c r="C31" t="s">
        <v>25</v>
      </c>
      <c r="D31" t="s">
        <v>69</v>
      </c>
      <c r="E31" s="2">
        <v>306740</v>
      </c>
      <c r="F31" s="2">
        <v>317546</v>
      </c>
      <c r="G31" s="2">
        <v>311898</v>
      </c>
    </row>
    <row r="32" spans="1:7" x14ac:dyDescent="0.35">
      <c r="A32">
        <v>7</v>
      </c>
      <c r="B32" t="s">
        <v>24</v>
      </c>
      <c r="C32" t="s">
        <v>25</v>
      </c>
      <c r="D32" t="s">
        <v>316</v>
      </c>
      <c r="E32" s="2">
        <v>18262</v>
      </c>
      <c r="F32" s="2">
        <v>21825</v>
      </c>
      <c r="G32" s="2">
        <v>22421</v>
      </c>
    </row>
    <row r="33" spans="1:7" x14ac:dyDescent="0.35">
      <c r="A33">
        <v>7</v>
      </c>
      <c r="B33" t="s">
        <v>24</v>
      </c>
      <c r="C33" t="s">
        <v>25</v>
      </c>
      <c r="D33" t="s">
        <v>317</v>
      </c>
      <c r="E33" s="2">
        <v>78284</v>
      </c>
      <c r="F33" s="2">
        <v>37424</v>
      </c>
      <c r="G33" s="2">
        <v>25419</v>
      </c>
    </row>
    <row r="34" spans="1:7" x14ac:dyDescent="0.35">
      <c r="A34">
        <v>8</v>
      </c>
      <c r="B34" t="s">
        <v>27</v>
      </c>
      <c r="C34" t="s">
        <v>28</v>
      </c>
      <c r="D34" t="s">
        <v>318</v>
      </c>
      <c r="E34" s="2">
        <v>44260000</v>
      </c>
      <c r="F34" s="2">
        <v>40900000</v>
      </c>
      <c r="G34" s="2" t="s">
        <v>11</v>
      </c>
    </row>
    <row r="35" spans="1:7" x14ac:dyDescent="0.35">
      <c r="A35">
        <v>8</v>
      </c>
      <c r="B35" t="s">
        <v>27</v>
      </c>
      <c r="C35" t="s">
        <v>28</v>
      </c>
      <c r="D35" t="s">
        <v>319</v>
      </c>
      <c r="E35" s="2">
        <v>648480000</v>
      </c>
      <c r="F35" s="2">
        <v>210000000</v>
      </c>
      <c r="G35" s="2" t="s">
        <v>11</v>
      </c>
    </row>
    <row r="36" spans="1:7" x14ac:dyDescent="0.35">
      <c r="A36">
        <v>8</v>
      </c>
      <c r="B36" t="s">
        <v>27</v>
      </c>
      <c r="C36" t="s">
        <v>28</v>
      </c>
      <c r="D36" t="s">
        <v>320</v>
      </c>
      <c r="E36" s="2">
        <v>3500000</v>
      </c>
      <c r="F36" s="2">
        <v>137000</v>
      </c>
      <c r="G36" s="2">
        <v>10028040</v>
      </c>
    </row>
    <row r="37" spans="1:7" x14ac:dyDescent="0.35">
      <c r="A37">
        <v>9</v>
      </c>
      <c r="B37" t="s">
        <v>30</v>
      </c>
      <c r="C37" t="s">
        <v>31</v>
      </c>
      <c r="D37" t="s">
        <v>321</v>
      </c>
      <c r="E37" s="2">
        <v>1550.32</v>
      </c>
      <c r="F37" s="2">
        <v>1645.45</v>
      </c>
      <c r="G37" s="2" t="s">
        <v>11</v>
      </c>
    </row>
    <row r="38" spans="1:7" x14ac:dyDescent="0.35">
      <c r="A38">
        <v>9</v>
      </c>
      <c r="B38" t="s">
        <v>30</v>
      </c>
      <c r="C38" t="s">
        <v>31</v>
      </c>
      <c r="D38" t="s">
        <v>322</v>
      </c>
      <c r="E38" s="2">
        <v>2591.44</v>
      </c>
      <c r="F38" s="2">
        <v>2915.4</v>
      </c>
      <c r="G38" s="2" t="s">
        <v>11</v>
      </c>
    </row>
    <row r="39" spans="1:7" x14ac:dyDescent="0.35">
      <c r="A39">
        <v>9</v>
      </c>
      <c r="B39" t="s">
        <v>30</v>
      </c>
      <c r="C39" t="s">
        <v>31</v>
      </c>
      <c r="D39" t="s">
        <v>323</v>
      </c>
      <c r="E39" s="2" t="s">
        <v>11</v>
      </c>
      <c r="F39" s="2">
        <v>82</v>
      </c>
      <c r="G39" s="2">
        <v>659.61199999999997</v>
      </c>
    </row>
    <row r="40" spans="1:7" x14ac:dyDescent="0.35">
      <c r="A40">
        <v>9</v>
      </c>
      <c r="B40" t="s">
        <v>30</v>
      </c>
      <c r="C40" t="s">
        <v>31</v>
      </c>
      <c r="D40" t="s">
        <v>324</v>
      </c>
      <c r="E40" s="2" t="s">
        <v>11</v>
      </c>
      <c r="F40" s="2">
        <v>12090.18</v>
      </c>
      <c r="G40" s="2">
        <v>33655</v>
      </c>
    </row>
    <row r="41" spans="1:7" x14ac:dyDescent="0.35">
      <c r="A41">
        <v>9</v>
      </c>
      <c r="B41" t="s">
        <v>30</v>
      </c>
      <c r="C41" t="s">
        <v>31</v>
      </c>
      <c r="D41" t="s">
        <v>325</v>
      </c>
      <c r="E41" s="2">
        <v>3648.54</v>
      </c>
      <c r="F41" s="2">
        <v>1956.21</v>
      </c>
      <c r="G41" s="2">
        <v>2023</v>
      </c>
    </row>
    <row r="42" spans="1:7" x14ac:dyDescent="0.35">
      <c r="A42">
        <v>9</v>
      </c>
      <c r="B42" t="s">
        <v>30</v>
      </c>
      <c r="C42" t="s">
        <v>31</v>
      </c>
      <c r="D42" t="s">
        <v>326</v>
      </c>
      <c r="E42" s="2">
        <v>457.29</v>
      </c>
      <c r="F42" s="2" t="s">
        <v>159</v>
      </c>
      <c r="G42" s="2" t="s">
        <v>11</v>
      </c>
    </row>
    <row r="43" spans="1:7" x14ac:dyDescent="0.35">
      <c r="A43">
        <v>9</v>
      </c>
      <c r="B43" t="s">
        <v>30</v>
      </c>
      <c r="C43" t="s">
        <v>31</v>
      </c>
      <c r="D43" t="s">
        <v>327</v>
      </c>
      <c r="E43" s="2">
        <v>23282.63</v>
      </c>
      <c r="F43" s="2">
        <v>6349.02</v>
      </c>
      <c r="G43" s="2" t="s">
        <v>11</v>
      </c>
    </row>
    <row r="44" spans="1:7" x14ac:dyDescent="0.35">
      <c r="A44">
        <v>9</v>
      </c>
      <c r="B44" t="s">
        <v>30</v>
      </c>
      <c r="C44" t="s">
        <v>31</v>
      </c>
      <c r="D44" t="s">
        <v>328</v>
      </c>
      <c r="E44" s="2">
        <v>1934.14</v>
      </c>
      <c r="F44" s="2">
        <v>12199.08</v>
      </c>
      <c r="G44" s="2">
        <v>10130.709999999999</v>
      </c>
    </row>
    <row r="45" spans="1:7" x14ac:dyDescent="0.35">
      <c r="A45">
        <v>9</v>
      </c>
      <c r="B45" t="s">
        <v>30</v>
      </c>
      <c r="C45" t="s">
        <v>31</v>
      </c>
      <c r="D45" t="s">
        <v>329</v>
      </c>
      <c r="E45" s="2">
        <v>21253.23</v>
      </c>
      <c r="F45" s="2">
        <v>22541.83</v>
      </c>
      <c r="G45" s="2">
        <v>31990</v>
      </c>
    </row>
    <row r="46" spans="1:7" x14ac:dyDescent="0.35">
      <c r="A46">
        <v>9</v>
      </c>
      <c r="B46" t="s">
        <v>30</v>
      </c>
      <c r="C46" t="s">
        <v>31</v>
      </c>
      <c r="D46" t="s">
        <v>330</v>
      </c>
      <c r="E46" s="2">
        <v>730147.63600000006</v>
      </c>
      <c r="F46" s="2">
        <v>886505.65</v>
      </c>
      <c r="G46" s="2">
        <v>983321</v>
      </c>
    </row>
    <row r="47" spans="1:7" x14ac:dyDescent="0.35">
      <c r="A47">
        <v>9</v>
      </c>
      <c r="B47" t="s">
        <v>30</v>
      </c>
      <c r="C47" t="s">
        <v>31</v>
      </c>
      <c r="D47" t="s">
        <v>331</v>
      </c>
      <c r="E47" s="2">
        <v>16202.93</v>
      </c>
      <c r="F47" s="2">
        <v>48817.97</v>
      </c>
      <c r="G47" s="2">
        <v>15632</v>
      </c>
    </row>
    <row r="48" spans="1:7" x14ac:dyDescent="0.35">
      <c r="A48">
        <v>9</v>
      </c>
      <c r="B48" t="s">
        <v>30</v>
      </c>
      <c r="C48" t="s">
        <v>31</v>
      </c>
      <c r="D48" t="s">
        <v>292</v>
      </c>
      <c r="E48" s="2" t="s">
        <v>11</v>
      </c>
      <c r="F48" s="2" t="s">
        <v>11</v>
      </c>
      <c r="G48" s="2">
        <v>51</v>
      </c>
    </row>
    <row r="49" spans="1:7" x14ac:dyDescent="0.35">
      <c r="A49">
        <v>10</v>
      </c>
      <c r="B49" t="s">
        <v>32</v>
      </c>
      <c r="C49" t="s">
        <v>33</v>
      </c>
      <c r="D49" t="s">
        <v>310</v>
      </c>
      <c r="E49" s="2">
        <v>18867</v>
      </c>
      <c r="F49" s="2">
        <v>32569</v>
      </c>
      <c r="G49" s="2">
        <v>33164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>
      <selection activeCell="E15" sqref="E15"/>
    </sheetView>
  </sheetViews>
  <sheetFormatPr defaultRowHeight="14.5" x14ac:dyDescent="0.35"/>
  <cols>
    <col min="3" max="3" width="11.6328125" bestFit="1" customWidth="1"/>
    <col min="4" max="4" width="20.453125" bestFit="1" customWidth="1"/>
    <col min="5" max="5" width="23.81640625" bestFit="1" customWidth="1"/>
    <col min="6" max="6" width="20.36328125" bestFit="1" customWidth="1"/>
    <col min="7" max="7" width="22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 x14ac:dyDescent="0.35">
      <c r="A2">
        <v>1</v>
      </c>
      <c r="B2" t="s">
        <v>9</v>
      </c>
      <c r="C2" t="s">
        <v>10</v>
      </c>
      <c r="D2" t="s">
        <v>332</v>
      </c>
      <c r="E2" t="s">
        <v>78</v>
      </c>
      <c r="F2">
        <v>2022</v>
      </c>
      <c r="G2" t="s">
        <v>79</v>
      </c>
    </row>
    <row r="3" spans="1:7" x14ac:dyDescent="0.35">
      <c r="A3">
        <v>2</v>
      </c>
      <c r="B3" t="s">
        <v>12</v>
      </c>
      <c r="C3" t="s">
        <v>13</v>
      </c>
      <c r="D3" t="s">
        <v>80</v>
      </c>
      <c r="E3" t="s">
        <v>81</v>
      </c>
      <c r="F3">
        <v>2025</v>
      </c>
      <c r="G3" t="s">
        <v>82</v>
      </c>
    </row>
    <row r="4" spans="1:7" x14ac:dyDescent="0.35">
      <c r="A4">
        <v>3</v>
      </c>
      <c r="B4" t="s">
        <v>15</v>
      </c>
      <c r="C4" t="s">
        <v>16</v>
      </c>
      <c r="D4" t="s">
        <v>11</v>
      </c>
      <c r="E4" t="s">
        <v>11</v>
      </c>
      <c r="F4" t="s">
        <v>11</v>
      </c>
      <c r="G4" t="s">
        <v>11</v>
      </c>
    </row>
    <row r="5" spans="1:7" x14ac:dyDescent="0.35">
      <c r="A5">
        <v>4</v>
      </c>
      <c r="B5" t="s">
        <v>18</v>
      </c>
      <c r="C5" t="s">
        <v>19</v>
      </c>
      <c r="D5" t="s">
        <v>80</v>
      </c>
      <c r="E5" t="s">
        <v>83</v>
      </c>
      <c r="F5">
        <v>2023</v>
      </c>
      <c r="G5" t="s">
        <v>84</v>
      </c>
    </row>
    <row r="6" spans="1:7" x14ac:dyDescent="0.35">
      <c r="A6">
        <v>5</v>
      </c>
      <c r="B6" t="s">
        <v>20</v>
      </c>
      <c r="C6" t="s">
        <v>21</v>
      </c>
      <c r="D6" t="s">
        <v>80</v>
      </c>
      <c r="E6" t="s">
        <v>85</v>
      </c>
      <c r="F6">
        <v>2021</v>
      </c>
      <c r="G6" t="s">
        <v>86</v>
      </c>
    </row>
    <row r="7" spans="1:7" x14ac:dyDescent="0.35">
      <c r="A7">
        <v>6</v>
      </c>
      <c r="B7" t="s">
        <v>22</v>
      </c>
      <c r="C7" t="s">
        <v>23</v>
      </c>
      <c r="D7" t="s">
        <v>80</v>
      </c>
      <c r="E7" t="s">
        <v>85</v>
      </c>
      <c r="F7">
        <v>2021</v>
      </c>
      <c r="G7" t="s">
        <v>86</v>
      </c>
    </row>
    <row r="8" spans="1:7" x14ac:dyDescent="0.35">
      <c r="A8">
        <v>7</v>
      </c>
      <c r="B8" t="s">
        <v>24</v>
      </c>
      <c r="C8" t="s">
        <v>25</v>
      </c>
      <c r="D8" t="s">
        <v>80</v>
      </c>
      <c r="E8" t="s">
        <v>87</v>
      </c>
      <c r="F8">
        <v>2021</v>
      </c>
      <c r="G8" t="s">
        <v>88</v>
      </c>
    </row>
    <row r="9" spans="1:7" x14ac:dyDescent="0.35">
      <c r="A9">
        <v>8</v>
      </c>
      <c r="B9" t="s">
        <v>27</v>
      </c>
      <c r="C9" t="s">
        <v>28</v>
      </c>
      <c r="D9" t="s">
        <v>80</v>
      </c>
      <c r="E9" t="s">
        <v>89</v>
      </c>
      <c r="F9">
        <v>2022</v>
      </c>
      <c r="G9" t="s">
        <v>90</v>
      </c>
    </row>
    <row r="10" spans="1:7" x14ac:dyDescent="0.35">
      <c r="A10">
        <v>9</v>
      </c>
      <c r="B10" t="s">
        <v>30</v>
      </c>
      <c r="C10" t="s">
        <v>31</v>
      </c>
      <c r="D10" t="s">
        <v>80</v>
      </c>
      <c r="E10" t="s">
        <v>87</v>
      </c>
      <c r="F10">
        <v>2018</v>
      </c>
      <c r="G10" t="s">
        <v>91</v>
      </c>
    </row>
    <row r="11" spans="1:7" x14ac:dyDescent="0.35">
      <c r="A11">
        <v>10</v>
      </c>
      <c r="B11" t="s">
        <v>32</v>
      </c>
      <c r="C11" t="s">
        <v>33</v>
      </c>
      <c r="D11" t="s">
        <v>80</v>
      </c>
      <c r="E11" t="s">
        <v>92</v>
      </c>
      <c r="F11">
        <v>2016</v>
      </c>
      <c r="G11" t="s">
        <v>93</v>
      </c>
    </row>
    <row r="12" spans="1:7" x14ac:dyDescent="0.35">
      <c r="A12">
        <v>11</v>
      </c>
      <c r="B12" t="s">
        <v>34</v>
      </c>
      <c r="C12" t="s">
        <v>11</v>
      </c>
      <c r="D12" t="s">
        <v>80</v>
      </c>
      <c r="E12" t="s">
        <v>94</v>
      </c>
      <c r="F12">
        <v>2022</v>
      </c>
      <c r="G12" t="s">
        <v>11</v>
      </c>
    </row>
    <row r="13" spans="1:7" x14ac:dyDescent="0.35">
      <c r="A13">
        <v>12</v>
      </c>
      <c r="B13" t="s">
        <v>35</v>
      </c>
      <c r="C13" t="s">
        <v>36</v>
      </c>
      <c r="D13" t="s">
        <v>95</v>
      </c>
      <c r="E13" t="s">
        <v>96</v>
      </c>
      <c r="F13">
        <v>2010</v>
      </c>
      <c r="G13" t="s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>
      <selection activeCell="F13" sqref="F13"/>
    </sheetView>
  </sheetViews>
  <sheetFormatPr defaultRowHeight="14.5" x14ac:dyDescent="0.35"/>
  <cols>
    <col min="1" max="1" width="6.1796875" bestFit="1" customWidth="1"/>
    <col min="2" max="2" width="49.08984375" bestFit="1" customWidth="1"/>
    <col min="4" max="4" width="32.26953125" bestFit="1" customWidth="1"/>
    <col min="5" max="5" width="35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98</v>
      </c>
      <c r="E1" s="1" t="s">
        <v>333</v>
      </c>
    </row>
    <row r="2" spans="1:5" x14ac:dyDescent="0.35">
      <c r="A2">
        <v>1</v>
      </c>
      <c r="B2" t="s">
        <v>9</v>
      </c>
      <c r="C2" t="s">
        <v>10</v>
      </c>
      <c r="D2" t="s">
        <v>99</v>
      </c>
      <c r="E2" t="s">
        <v>11</v>
      </c>
    </row>
    <row r="3" spans="1:5" x14ac:dyDescent="0.35">
      <c r="A3">
        <v>1</v>
      </c>
      <c r="B3" t="s">
        <v>9</v>
      </c>
      <c r="C3" t="s">
        <v>10</v>
      </c>
      <c r="D3" t="s">
        <v>100</v>
      </c>
      <c r="E3" t="s">
        <v>11</v>
      </c>
    </row>
    <row r="4" spans="1:5" x14ac:dyDescent="0.35">
      <c r="A4">
        <v>2</v>
      </c>
      <c r="B4" t="s">
        <v>12</v>
      </c>
      <c r="C4" t="s">
        <v>13</v>
      </c>
      <c r="D4" t="s">
        <v>99</v>
      </c>
      <c r="E4">
        <v>330</v>
      </c>
    </row>
    <row r="5" spans="1:5" x14ac:dyDescent="0.35">
      <c r="A5">
        <v>3</v>
      </c>
      <c r="B5" t="s">
        <v>15</v>
      </c>
      <c r="C5" t="s">
        <v>16</v>
      </c>
      <c r="D5" t="s">
        <v>99</v>
      </c>
      <c r="E5">
        <v>370</v>
      </c>
    </row>
    <row r="6" spans="1:5" x14ac:dyDescent="0.35">
      <c r="A6">
        <v>3</v>
      </c>
      <c r="B6" t="s">
        <v>15</v>
      </c>
      <c r="C6" t="s">
        <v>16</v>
      </c>
      <c r="D6" t="s">
        <v>334</v>
      </c>
      <c r="E6">
        <v>380</v>
      </c>
    </row>
    <row r="7" spans="1:5" x14ac:dyDescent="0.35">
      <c r="A7">
        <v>4</v>
      </c>
      <c r="B7" t="s">
        <v>18</v>
      </c>
      <c r="C7" t="s">
        <v>19</v>
      </c>
      <c r="D7" t="s">
        <v>99</v>
      </c>
      <c r="E7">
        <v>491</v>
      </c>
    </row>
    <row r="8" spans="1:5" x14ac:dyDescent="0.35">
      <c r="A8">
        <v>4</v>
      </c>
      <c r="B8" t="s">
        <v>18</v>
      </c>
      <c r="C8" t="s">
        <v>19</v>
      </c>
      <c r="D8" t="s">
        <v>335</v>
      </c>
      <c r="E8">
        <v>486</v>
      </c>
    </row>
    <row r="9" spans="1:5" x14ac:dyDescent="0.35">
      <c r="A9">
        <v>4</v>
      </c>
      <c r="B9" t="s">
        <v>18</v>
      </c>
      <c r="C9" t="s">
        <v>19</v>
      </c>
      <c r="D9" t="s">
        <v>336</v>
      </c>
      <c r="E9">
        <v>574</v>
      </c>
    </row>
    <row r="10" spans="1:5" x14ac:dyDescent="0.35">
      <c r="A10">
        <v>4</v>
      </c>
      <c r="B10" t="s">
        <v>18</v>
      </c>
      <c r="C10" t="s">
        <v>19</v>
      </c>
      <c r="D10" t="s">
        <v>337</v>
      </c>
      <c r="E10">
        <v>558</v>
      </c>
    </row>
    <row r="11" spans="1:5" x14ac:dyDescent="0.35">
      <c r="A11">
        <v>7</v>
      </c>
      <c r="B11" t="s">
        <v>24</v>
      </c>
      <c r="C11" t="s">
        <v>25</v>
      </c>
      <c r="D11" t="s">
        <v>99</v>
      </c>
      <c r="E11" t="s">
        <v>11</v>
      </c>
    </row>
    <row r="12" spans="1:5" x14ac:dyDescent="0.35">
      <c r="A12">
        <v>8</v>
      </c>
      <c r="B12" t="s">
        <v>27</v>
      </c>
      <c r="C12" t="s">
        <v>28</v>
      </c>
      <c r="D12" t="s">
        <v>99</v>
      </c>
      <c r="E12" t="s">
        <v>11</v>
      </c>
    </row>
    <row r="13" spans="1:5" x14ac:dyDescent="0.35">
      <c r="A13">
        <v>9</v>
      </c>
      <c r="B13" t="s">
        <v>30</v>
      </c>
      <c r="C13" t="s">
        <v>31</v>
      </c>
      <c r="D13" t="s">
        <v>99</v>
      </c>
      <c r="E13" t="s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workbookViewId="0">
      <selection activeCell="D6" sqref="D6"/>
    </sheetView>
  </sheetViews>
  <sheetFormatPr defaultRowHeight="14.5" x14ac:dyDescent="0.35"/>
  <cols>
    <col min="2" max="2" width="42.6328125" bestFit="1" customWidth="1"/>
    <col min="3" max="3" width="11.6328125" bestFit="1" customWidth="1"/>
    <col min="4" max="4" width="49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101</v>
      </c>
    </row>
    <row r="2" spans="1:4" x14ac:dyDescent="0.35">
      <c r="A2">
        <v>1</v>
      </c>
      <c r="B2" t="s">
        <v>9</v>
      </c>
      <c r="C2" t="s">
        <v>10</v>
      </c>
      <c r="D2" t="s">
        <v>338</v>
      </c>
    </row>
    <row r="3" spans="1:4" x14ac:dyDescent="0.35">
      <c r="A3">
        <v>1</v>
      </c>
      <c r="B3" t="s">
        <v>9</v>
      </c>
      <c r="C3" t="s">
        <v>10</v>
      </c>
      <c r="D3" t="s">
        <v>339</v>
      </c>
    </row>
    <row r="4" spans="1:4" x14ac:dyDescent="0.35">
      <c r="A4">
        <v>4</v>
      </c>
      <c r="B4" t="s">
        <v>18</v>
      </c>
      <c r="C4" t="s">
        <v>19</v>
      </c>
      <c r="D4" t="s">
        <v>102</v>
      </c>
    </row>
    <row r="5" spans="1:4" x14ac:dyDescent="0.35">
      <c r="A5">
        <v>4</v>
      </c>
      <c r="B5" t="s">
        <v>18</v>
      </c>
      <c r="C5" t="s">
        <v>19</v>
      </c>
      <c r="D5" t="s">
        <v>340</v>
      </c>
    </row>
    <row r="6" spans="1:4" x14ac:dyDescent="0.35">
      <c r="A6">
        <v>5</v>
      </c>
      <c r="B6" t="s">
        <v>20</v>
      </c>
      <c r="C6" t="s">
        <v>21</v>
      </c>
      <c r="D6" t="s">
        <v>341</v>
      </c>
    </row>
    <row r="7" spans="1:4" x14ac:dyDescent="0.35">
      <c r="A7">
        <v>5</v>
      </c>
      <c r="B7" t="s">
        <v>20</v>
      </c>
      <c r="C7" t="s">
        <v>21</v>
      </c>
      <c r="D7" t="s">
        <v>343</v>
      </c>
    </row>
    <row r="8" spans="1:4" x14ac:dyDescent="0.35">
      <c r="A8">
        <v>6</v>
      </c>
      <c r="B8" t="s">
        <v>22</v>
      </c>
      <c r="C8" t="s">
        <v>23</v>
      </c>
      <c r="D8" t="s">
        <v>341</v>
      </c>
    </row>
    <row r="9" spans="1:4" x14ac:dyDescent="0.35">
      <c r="A9">
        <v>6</v>
      </c>
      <c r="B9" t="s">
        <v>22</v>
      </c>
      <c r="C9" t="s">
        <v>23</v>
      </c>
      <c r="D9" t="s">
        <v>343</v>
      </c>
    </row>
    <row r="10" spans="1:4" x14ac:dyDescent="0.35">
      <c r="A10">
        <v>10</v>
      </c>
      <c r="B10" t="s">
        <v>32</v>
      </c>
      <c r="C10" t="s">
        <v>33</v>
      </c>
      <c r="D10" t="s">
        <v>102</v>
      </c>
    </row>
    <row r="11" spans="1:4" x14ac:dyDescent="0.35">
      <c r="A11">
        <v>10</v>
      </c>
      <c r="B11" t="s">
        <v>32</v>
      </c>
      <c r="C11" t="s">
        <v>33</v>
      </c>
      <c r="D11" t="s">
        <v>344</v>
      </c>
    </row>
    <row r="12" spans="1:4" x14ac:dyDescent="0.35">
      <c r="A12">
        <v>10</v>
      </c>
      <c r="B12" t="s">
        <v>32</v>
      </c>
      <c r="C12" t="s">
        <v>33</v>
      </c>
      <c r="D12" t="s">
        <v>342</v>
      </c>
    </row>
    <row r="13" spans="1:4" x14ac:dyDescent="0.35">
      <c r="A13">
        <v>12</v>
      </c>
      <c r="B13" t="s">
        <v>35</v>
      </c>
      <c r="C13" t="s">
        <v>36</v>
      </c>
      <c r="D13" t="s">
        <v>102</v>
      </c>
    </row>
    <row r="14" spans="1:4" x14ac:dyDescent="0.35">
      <c r="A14">
        <v>12</v>
      </c>
      <c r="B14" t="s">
        <v>35</v>
      </c>
      <c r="C14" t="s">
        <v>36</v>
      </c>
      <c r="D14" t="s">
        <v>345</v>
      </c>
    </row>
    <row r="15" spans="1:4" x14ac:dyDescent="0.35">
      <c r="A15">
        <v>12</v>
      </c>
      <c r="B15" t="s">
        <v>35</v>
      </c>
      <c r="C15" t="s">
        <v>36</v>
      </c>
      <c r="D15" t="s">
        <v>346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5"/>
  <sheetViews>
    <sheetView workbookViewId="0">
      <selection activeCell="A72" sqref="A72"/>
    </sheetView>
  </sheetViews>
  <sheetFormatPr defaultRowHeight="14.5" x14ac:dyDescent="0.35"/>
  <cols>
    <col min="1" max="1" width="49.08984375" bestFit="1" customWidth="1"/>
    <col min="2" max="2" width="11.6328125" bestFit="1" customWidth="1"/>
    <col min="4" max="4" width="42.36328125" bestFit="1" customWidth="1"/>
    <col min="5" max="5" width="16" bestFit="1" customWidth="1"/>
  </cols>
  <sheetData>
    <row r="1" spans="1:5" x14ac:dyDescent="0.35">
      <c r="A1" s="1" t="s">
        <v>1</v>
      </c>
      <c r="B1" s="1" t="s">
        <v>2</v>
      </c>
      <c r="C1" s="1" t="s">
        <v>103</v>
      </c>
      <c r="D1" s="36" t="s">
        <v>349</v>
      </c>
      <c r="E1" s="1" t="s">
        <v>104</v>
      </c>
    </row>
    <row r="2" spans="1:5" x14ac:dyDescent="0.35">
      <c r="A2" t="s">
        <v>9</v>
      </c>
      <c r="B2" t="s">
        <v>10</v>
      </c>
      <c r="C2" t="s">
        <v>105</v>
      </c>
      <c r="D2" s="35" t="s">
        <v>294</v>
      </c>
      <c r="E2">
        <v>1048276</v>
      </c>
    </row>
    <row r="3" spans="1:5" x14ac:dyDescent="0.35">
      <c r="A3" t="s">
        <v>9</v>
      </c>
      <c r="B3" t="s">
        <v>10</v>
      </c>
      <c r="C3" t="s">
        <v>105</v>
      </c>
      <c r="D3" s="35" t="s">
        <v>350</v>
      </c>
      <c r="E3">
        <v>15539.02</v>
      </c>
    </row>
    <row r="4" spans="1:5" x14ac:dyDescent="0.35">
      <c r="A4" t="s">
        <v>9</v>
      </c>
      <c r="B4" t="s">
        <v>10</v>
      </c>
      <c r="C4" t="s">
        <v>105</v>
      </c>
      <c r="D4" s="35" t="s">
        <v>351</v>
      </c>
      <c r="E4">
        <v>3551</v>
      </c>
    </row>
    <row r="5" spans="1:5" x14ac:dyDescent="0.35">
      <c r="A5" t="s">
        <v>9</v>
      </c>
      <c r="B5" t="s">
        <v>10</v>
      </c>
      <c r="C5" t="s">
        <v>105</v>
      </c>
      <c r="D5" s="35" t="s">
        <v>352</v>
      </c>
      <c r="E5">
        <v>48428</v>
      </c>
    </row>
    <row r="6" spans="1:5" x14ac:dyDescent="0.35">
      <c r="A6" t="s">
        <v>9</v>
      </c>
      <c r="B6" t="s">
        <v>10</v>
      </c>
      <c r="C6" t="s">
        <v>105</v>
      </c>
      <c r="D6" s="34" t="s">
        <v>348</v>
      </c>
      <c r="E6">
        <v>1411.84</v>
      </c>
    </row>
    <row r="7" spans="1:5" x14ac:dyDescent="0.35">
      <c r="A7" t="s">
        <v>9</v>
      </c>
      <c r="B7" t="s">
        <v>10</v>
      </c>
      <c r="C7" t="s">
        <v>106</v>
      </c>
      <c r="D7" s="35" t="s">
        <v>294</v>
      </c>
      <c r="E7">
        <v>1122700.69</v>
      </c>
    </row>
    <row r="8" spans="1:5" x14ac:dyDescent="0.35">
      <c r="A8" t="s">
        <v>9</v>
      </c>
      <c r="B8" t="s">
        <v>10</v>
      </c>
      <c r="C8" t="s">
        <v>106</v>
      </c>
      <c r="D8" s="35" t="s">
        <v>350</v>
      </c>
      <c r="E8">
        <v>8339</v>
      </c>
    </row>
    <row r="9" spans="1:5" x14ac:dyDescent="0.35">
      <c r="A9" t="s">
        <v>9</v>
      </c>
      <c r="B9" t="s">
        <v>10</v>
      </c>
      <c r="C9" t="s">
        <v>106</v>
      </c>
      <c r="D9" s="34" t="s">
        <v>353</v>
      </c>
      <c r="E9">
        <v>2719.31</v>
      </c>
    </row>
    <row r="10" spans="1:5" x14ac:dyDescent="0.35">
      <c r="A10" t="s">
        <v>9</v>
      </c>
      <c r="B10" t="s">
        <v>10</v>
      </c>
      <c r="C10" t="s">
        <v>106</v>
      </c>
      <c r="D10" s="34" t="s">
        <v>351</v>
      </c>
      <c r="E10">
        <v>12071</v>
      </c>
    </row>
    <row r="11" spans="1:5" x14ac:dyDescent="0.35">
      <c r="A11" t="s">
        <v>9</v>
      </c>
      <c r="B11" t="s">
        <v>10</v>
      </c>
      <c r="C11" t="s">
        <v>106</v>
      </c>
      <c r="D11" s="34" t="s">
        <v>352</v>
      </c>
      <c r="E11">
        <v>28784</v>
      </c>
    </row>
    <row r="12" spans="1:5" x14ac:dyDescent="0.35">
      <c r="A12" t="s">
        <v>9</v>
      </c>
      <c r="B12" t="s">
        <v>10</v>
      </c>
      <c r="C12" t="s">
        <v>106</v>
      </c>
      <c r="D12" s="34" t="s">
        <v>348</v>
      </c>
      <c r="E12">
        <v>1411.84</v>
      </c>
    </row>
    <row r="13" spans="1:5" x14ac:dyDescent="0.35">
      <c r="A13" t="s">
        <v>12</v>
      </c>
      <c r="B13" t="s">
        <v>13</v>
      </c>
      <c r="C13" t="s">
        <v>107</v>
      </c>
      <c r="D13" s="34" t="s">
        <v>294</v>
      </c>
      <c r="E13">
        <v>4492708.4639999997</v>
      </c>
    </row>
    <row r="14" spans="1:5" x14ac:dyDescent="0.35">
      <c r="A14" t="s">
        <v>12</v>
      </c>
      <c r="B14" t="s">
        <v>13</v>
      </c>
      <c r="C14" t="s">
        <v>107</v>
      </c>
      <c r="D14" s="34" t="s">
        <v>347</v>
      </c>
      <c r="E14">
        <v>142022.14000000001</v>
      </c>
    </row>
    <row r="15" spans="1:5" x14ac:dyDescent="0.35">
      <c r="A15" t="s">
        <v>12</v>
      </c>
      <c r="B15" t="s">
        <v>13</v>
      </c>
      <c r="C15" t="s">
        <v>107</v>
      </c>
      <c r="D15" s="34" t="s">
        <v>354</v>
      </c>
      <c r="E15">
        <v>24081.94</v>
      </c>
    </row>
    <row r="16" spans="1:5" x14ac:dyDescent="0.35">
      <c r="A16" t="s">
        <v>12</v>
      </c>
      <c r="B16" t="s">
        <v>13</v>
      </c>
      <c r="C16" t="s">
        <v>107</v>
      </c>
      <c r="D16" s="34" t="s">
        <v>355</v>
      </c>
      <c r="E16">
        <v>140693.24</v>
      </c>
    </row>
    <row r="17" spans="1:5" x14ac:dyDescent="0.35">
      <c r="A17" t="s">
        <v>12</v>
      </c>
      <c r="B17" t="s">
        <v>13</v>
      </c>
      <c r="C17" t="s">
        <v>107</v>
      </c>
      <c r="D17" s="34" t="s">
        <v>310</v>
      </c>
      <c r="E17">
        <v>18452.02</v>
      </c>
    </row>
    <row r="18" spans="1:5" x14ac:dyDescent="0.35">
      <c r="A18" t="s">
        <v>12</v>
      </c>
      <c r="B18" t="s">
        <v>13</v>
      </c>
      <c r="C18" t="s">
        <v>107</v>
      </c>
      <c r="D18" s="34" t="s">
        <v>69</v>
      </c>
      <c r="E18">
        <v>562823.27</v>
      </c>
    </row>
    <row r="19" spans="1:5" x14ac:dyDescent="0.35">
      <c r="A19" t="s">
        <v>12</v>
      </c>
      <c r="B19" t="s">
        <v>13</v>
      </c>
      <c r="C19" t="s">
        <v>107</v>
      </c>
      <c r="D19" s="34" t="s">
        <v>291</v>
      </c>
      <c r="E19">
        <v>123802.86</v>
      </c>
    </row>
    <row r="20" spans="1:5" x14ac:dyDescent="0.35">
      <c r="A20" t="s">
        <v>12</v>
      </c>
      <c r="B20" t="s">
        <v>13</v>
      </c>
      <c r="C20" t="s">
        <v>105</v>
      </c>
      <c r="D20" s="34" t="s">
        <v>294</v>
      </c>
      <c r="E20">
        <v>4243027.71</v>
      </c>
    </row>
    <row r="21" spans="1:5" x14ac:dyDescent="0.35">
      <c r="A21" t="s">
        <v>12</v>
      </c>
      <c r="B21" t="s">
        <v>13</v>
      </c>
      <c r="C21" t="s">
        <v>105</v>
      </c>
      <c r="D21" s="34" t="s">
        <v>347</v>
      </c>
      <c r="E21">
        <v>103674.23</v>
      </c>
    </row>
    <row r="22" spans="1:5" x14ac:dyDescent="0.35">
      <c r="A22" t="s">
        <v>12</v>
      </c>
      <c r="B22" t="s">
        <v>13</v>
      </c>
      <c r="C22" t="s">
        <v>105</v>
      </c>
      <c r="D22" s="34" t="s">
        <v>354</v>
      </c>
      <c r="E22">
        <v>81143.58</v>
      </c>
    </row>
    <row r="23" spans="1:5" x14ac:dyDescent="0.35">
      <c r="A23" t="s">
        <v>12</v>
      </c>
      <c r="B23" t="s">
        <v>13</v>
      </c>
      <c r="C23" t="s">
        <v>105</v>
      </c>
      <c r="D23" s="34" t="s">
        <v>355</v>
      </c>
      <c r="E23">
        <v>85217.33</v>
      </c>
    </row>
    <row r="24" spans="1:5" x14ac:dyDescent="0.35">
      <c r="A24" t="s">
        <v>12</v>
      </c>
      <c r="B24" t="s">
        <v>13</v>
      </c>
      <c r="C24" t="s">
        <v>105</v>
      </c>
      <c r="D24" s="34" t="s">
        <v>310</v>
      </c>
      <c r="E24">
        <v>15941.95</v>
      </c>
    </row>
    <row r="25" spans="1:5" x14ac:dyDescent="0.35">
      <c r="A25" t="s">
        <v>12</v>
      </c>
      <c r="B25" t="s">
        <v>13</v>
      </c>
      <c r="C25" t="s">
        <v>105</v>
      </c>
      <c r="D25" s="34" t="s">
        <v>69</v>
      </c>
      <c r="E25">
        <v>521280.03</v>
      </c>
    </row>
    <row r="26" spans="1:5" x14ac:dyDescent="0.35">
      <c r="A26" t="s">
        <v>12</v>
      </c>
      <c r="B26" t="s">
        <v>13</v>
      </c>
      <c r="C26" t="s">
        <v>105</v>
      </c>
      <c r="D26" s="34" t="s">
        <v>291</v>
      </c>
      <c r="E26">
        <v>125731.19</v>
      </c>
    </row>
    <row r="27" spans="1:5" x14ac:dyDescent="0.35">
      <c r="A27" t="s">
        <v>12</v>
      </c>
      <c r="B27" t="s">
        <v>13</v>
      </c>
      <c r="C27" t="s">
        <v>106</v>
      </c>
      <c r="D27" s="34" t="s">
        <v>294</v>
      </c>
      <c r="E27">
        <v>3920063.26</v>
      </c>
    </row>
    <row r="28" spans="1:5" x14ac:dyDescent="0.35">
      <c r="A28" t="s">
        <v>12</v>
      </c>
      <c r="B28" t="s">
        <v>13</v>
      </c>
      <c r="C28" t="s">
        <v>106</v>
      </c>
      <c r="D28" s="34" t="s">
        <v>347</v>
      </c>
      <c r="E28">
        <v>96236.83</v>
      </c>
    </row>
    <row r="29" spans="1:5" x14ac:dyDescent="0.35">
      <c r="A29" t="s">
        <v>12</v>
      </c>
      <c r="B29" t="s">
        <v>13</v>
      </c>
      <c r="C29" t="s">
        <v>106</v>
      </c>
      <c r="D29" s="34" t="s">
        <v>354</v>
      </c>
      <c r="E29">
        <v>60718.5</v>
      </c>
    </row>
    <row r="30" spans="1:5" x14ac:dyDescent="0.35">
      <c r="A30" t="s">
        <v>12</v>
      </c>
      <c r="B30" t="s">
        <v>13</v>
      </c>
      <c r="C30" t="s">
        <v>106</v>
      </c>
      <c r="D30" s="34" t="s">
        <v>355</v>
      </c>
      <c r="E30">
        <v>71314.58</v>
      </c>
    </row>
    <row r="31" spans="1:5" x14ac:dyDescent="0.35">
      <c r="A31" t="s">
        <v>12</v>
      </c>
      <c r="B31" t="s">
        <v>13</v>
      </c>
      <c r="C31" t="s">
        <v>106</v>
      </c>
      <c r="D31" s="34" t="s">
        <v>310</v>
      </c>
      <c r="E31">
        <v>14650.93</v>
      </c>
    </row>
    <row r="32" spans="1:5" x14ac:dyDescent="0.35">
      <c r="A32" t="s">
        <v>12</v>
      </c>
      <c r="B32" t="s">
        <v>13</v>
      </c>
      <c r="C32" t="s">
        <v>106</v>
      </c>
      <c r="D32" s="34" t="s">
        <v>69</v>
      </c>
      <c r="E32">
        <v>566233.81000000006</v>
      </c>
    </row>
    <row r="33" spans="1:5" x14ac:dyDescent="0.35">
      <c r="A33" t="s">
        <v>12</v>
      </c>
      <c r="B33" t="s">
        <v>13</v>
      </c>
      <c r="C33" t="s">
        <v>106</v>
      </c>
      <c r="D33" s="34" t="s">
        <v>291</v>
      </c>
      <c r="E33">
        <v>95980.72</v>
      </c>
    </row>
    <row r="34" spans="1:5" x14ac:dyDescent="0.35">
      <c r="A34" t="s">
        <v>15</v>
      </c>
      <c r="B34" t="s">
        <v>16</v>
      </c>
      <c r="C34" t="s">
        <v>107</v>
      </c>
      <c r="D34" s="34" t="s">
        <v>294</v>
      </c>
      <c r="E34">
        <v>3950615.33</v>
      </c>
    </row>
    <row r="35" spans="1:5" x14ac:dyDescent="0.35">
      <c r="A35" t="s">
        <v>15</v>
      </c>
      <c r="B35" t="s">
        <v>16</v>
      </c>
      <c r="C35" t="s">
        <v>107</v>
      </c>
      <c r="D35" s="34" t="s">
        <v>356</v>
      </c>
      <c r="E35">
        <v>184299.25</v>
      </c>
    </row>
    <row r="36" spans="1:5" x14ac:dyDescent="0.35">
      <c r="A36" t="s">
        <v>15</v>
      </c>
      <c r="B36" t="s">
        <v>16</v>
      </c>
      <c r="C36" t="s">
        <v>107</v>
      </c>
      <c r="D36" s="34" t="s">
        <v>347</v>
      </c>
      <c r="E36">
        <v>97379</v>
      </c>
    </row>
    <row r="37" spans="1:5" x14ac:dyDescent="0.35">
      <c r="A37" t="s">
        <v>15</v>
      </c>
      <c r="B37" t="s">
        <v>16</v>
      </c>
      <c r="C37" t="s">
        <v>107</v>
      </c>
      <c r="D37" s="34" t="s">
        <v>357</v>
      </c>
      <c r="E37">
        <v>14828.69</v>
      </c>
    </row>
    <row r="38" spans="1:5" x14ac:dyDescent="0.35">
      <c r="A38" t="s">
        <v>15</v>
      </c>
      <c r="B38" t="s">
        <v>16</v>
      </c>
      <c r="C38" t="s">
        <v>107</v>
      </c>
      <c r="D38" s="34" t="s">
        <v>358</v>
      </c>
      <c r="E38">
        <v>18880.64</v>
      </c>
    </row>
    <row r="39" spans="1:5" x14ac:dyDescent="0.35">
      <c r="A39" t="s">
        <v>15</v>
      </c>
      <c r="B39" t="s">
        <v>16</v>
      </c>
      <c r="C39" t="s">
        <v>107</v>
      </c>
      <c r="D39" s="34" t="s">
        <v>69</v>
      </c>
      <c r="E39">
        <v>618798.30000000005</v>
      </c>
    </row>
    <row r="40" spans="1:5" x14ac:dyDescent="0.35">
      <c r="A40" t="s">
        <v>15</v>
      </c>
      <c r="B40" t="s">
        <v>16</v>
      </c>
      <c r="C40" t="s">
        <v>107</v>
      </c>
      <c r="D40" s="34" t="s">
        <v>359</v>
      </c>
      <c r="E40">
        <v>128861</v>
      </c>
    </row>
    <row r="41" spans="1:5" x14ac:dyDescent="0.35">
      <c r="A41" t="s">
        <v>15</v>
      </c>
      <c r="B41" t="s">
        <v>16</v>
      </c>
      <c r="C41" t="s">
        <v>107</v>
      </c>
      <c r="D41" s="34" t="s">
        <v>360</v>
      </c>
      <c r="E41">
        <v>57242</v>
      </c>
    </row>
    <row r="42" spans="1:5" x14ac:dyDescent="0.35">
      <c r="A42" t="s">
        <v>15</v>
      </c>
      <c r="B42" t="s">
        <v>16</v>
      </c>
      <c r="C42" t="s">
        <v>107</v>
      </c>
      <c r="D42" s="34" t="s">
        <v>342</v>
      </c>
      <c r="E42">
        <v>4191.7</v>
      </c>
    </row>
    <row r="43" spans="1:5" x14ac:dyDescent="0.35">
      <c r="A43" t="s">
        <v>15</v>
      </c>
      <c r="B43" t="s">
        <v>16</v>
      </c>
      <c r="C43" t="s">
        <v>107</v>
      </c>
      <c r="D43" s="34" t="s">
        <v>361</v>
      </c>
      <c r="E43">
        <v>183792.09</v>
      </c>
    </row>
    <row r="44" spans="1:5" x14ac:dyDescent="0.35">
      <c r="A44" t="s">
        <v>15</v>
      </c>
      <c r="B44" t="s">
        <v>16</v>
      </c>
      <c r="C44" t="s">
        <v>105</v>
      </c>
      <c r="D44" s="34" t="s">
        <v>294</v>
      </c>
      <c r="E44">
        <v>4047347</v>
      </c>
    </row>
    <row r="45" spans="1:5" x14ac:dyDescent="0.35">
      <c r="A45" t="s">
        <v>15</v>
      </c>
      <c r="B45" t="s">
        <v>16</v>
      </c>
      <c r="C45" t="s">
        <v>105</v>
      </c>
      <c r="D45" s="34" t="s">
        <v>356</v>
      </c>
      <c r="E45">
        <v>160044.66</v>
      </c>
    </row>
    <row r="46" spans="1:5" x14ac:dyDescent="0.35">
      <c r="A46" t="s">
        <v>15</v>
      </c>
      <c r="B46" t="s">
        <v>16</v>
      </c>
      <c r="C46" t="s">
        <v>105</v>
      </c>
      <c r="D46" s="34" t="s">
        <v>347</v>
      </c>
      <c r="E46">
        <v>94700.479999999996</v>
      </c>
    </row>
    <row r="47" spans="1:5" x14ac:dyDescent="0.35">
      <c r="A47" t="s">
        <v>15</v>
      </c>
      <c r="B47" t="s">
        <v>16</v>
      </c>
      <c r="C47" t="s">
        <v>105</v>
      </c>
      <c r="D47" s="34" t="s">
        <v>357</v>
      </c>
      <c r="E47">
        <v>47266.7</v>
      </c>
    </row>
    <row r="48" spans="1:5" x14ac:dyDescent="0.35">
      <c r="A48" t="s">
        <v>15</v>
      </c>
      <c r="B48" t="s">
        <v>16</v>
      </c>
      <c r="C48" t="s">
        <v>105</v>
      </c>
      <c r="D48" s="34" t="s">
        <v>358</v>
      </c>
      <c r="E48">
        <v>17100.87</v>
      </c>
    </row>
    <row r="49" spans="1:5" x14ac:dyDescent="0.35">
      <c r="A49" t="s">
        <v>15</v>
      </c>
      <c r="B49" t="s">
        <v>16</v>
      </c>
      <c r="C49" t="s">
        <v>105</v>
      </c>
      <c r="D49" s="34" t="s">
        <v>69</v>
      </c>
      <c r="E49">
        <v>605882.07999999996</v>
      </c>
    </row>
    <row r="50" spans="1:5" x14ac:dyDescent="0.35">
      <c r="A50" t="s">
        <v>15</v>
      </c>
      <c r="B50" t="s">
        <v>16</v>
      </c>
      <c r="C50" t="s">
        <v>105</v>
      </c>
      <c r="D50" s="34" t="s">
        <v>359</v>
      </c>
      <c r="E50">
        <v>191125.43</v>
      </c>
    </row>
    <row r="51" spans="1:5" x14ac:dyDescent="0.35">
      <c r="A51" t="s">
        <v>15</v>
      </c>
      <c r="B51" t="s">
        <v>16</v>
      </c>
      <c r="C51" t="s">
        <v>105</v>
      </c>
      <c r="D51" s="34" t="s">
        <v>360</v>
      </c>
      <c r="E51">
        <v>105950.52</v>
      </c>
    </row>
    <row r="52" spans="1:5" x14ac:dyDescent="0.35">
      <c r="A52" t="s">
        <v>15</v>
      </c>
      <c r="B52" t="s">
        <v>16</v>
      </c>
      <c r="C52" t="s">
        <v>105</v>
      </c>
      <c r="D52" s="34" t="s">
        <v>342</v>
      </c>
      <c r="E52">
        <v>3625.89</v>
      </c>
    </row>
    <row r="53" spans="1:5" x14ac:dyDescent="0.35">
      <c r="A53" t="s">
        <v>15</v>
      </c>
      <c r="B53" t="s">
        <v>16</v>
      </c>
      <c r="C53" t="s">
        <v>105</v>
      </c>
      <c r="D53" s="34" t="s">
        <v>361</v>
      </c>
      <c r="E53">
        <v>307592.98</v>
      </c>
    </row>
    <row r="54" spans="1:5" x14ac:dyDescent="0.35">
      <c r="A54" t="s">
        <v>15</v>
      </c>
      <c r="B54" t="s">
        <v>16</v>
      </c>
      <c r="C54" t="s">
        <v>106</v>
      </c>
      <c r="D54" s="34" t="s">
        <v>294</v>
      </c>
      <c r="E54" s="37">
        <v>4133053.5</v>
      </c>
    </row>
    <row r="55" spans="1:5" x14ac:dyDescent="0.35">
      <c r="A55" t="s">
        <v>15</v>
      </c>
      <c r="B55" t="s">
        <v>16</v>
      </c>
      <c r="C55" t="s">
        <v>106</v>
      </c>
      <c r="D55" s="34" t="s">
        <v>356</v>
      </c>
      <c r="E55">
        <v>124809.82</v>
      </c>
    </row>
    <row r="56" spans="1:5" x14ac:dyDescent="0.35">
      <c r="A56" t="s">
        <v>15</v>
      </c>
      <c r="B56" t="s">
        <v>16</v>
      </c>
      <c r="C56" t="s">
        <v>106</v>
      </c>
      <c r="D56" s="34" t="s">
        <v>347</v>
      </c>
      <c r="E56">
        <v>85799.33</v>
      </c>
    </row>
    <row r="57" spans="1:5" x14ac:dyDescent="0.35">
      <c r="A57" t="s">
        <v>15</v>
      </c>
      <c r="B57" t="s">
        <v>16</v>
      </c>
      <c r="C57" t="s">
        <v>106</v>
      </c>
      <c r="D57" s="34" t="s">
        <v>357</v>
      </c>
      <c r="E57">
        <v>12862.94</v>
      </c>
    </row>
    <row r="58" spans="1:5" x14ac:dyDescent="0.35">
      <c r="A58" t="s">
        <v>15</v>
      </c>
      <c r="B58" t="s">
        <v>16</v>
      </c>
      <c r="C58" t="s">
        <v>106</v>
      </c>
      <c r="D58" s="34" t="s">
        <v>358</v>
      </c>
      <c r="E58">
        <v>23991.57</v>
      </c>
    </row>
    <row r="59" spans="1:5" x14ac:dyDescent="0.35">
      <c r="A59" t="s">
        <v>15</v>
      </c>
      <c r="B59" t="s">
        <v>16</v>
      </c>
      <c r="C59" t="s">
        <v>106</v>
      </c>
      <c r="D59" s="34" t="s">
        <v>69</v>
      </c>
      <c r="E59">
        <v>546936.94999999995</v>
      </c>
    </row>
    <row r="60" spans="1:5" x14ac:dyDescent="0.35">
      <c r="A60" t="s">
        <v>15</v>
      </c>
      <c r="B60" t="s">
        <v>16</v>
      </c>
      <c r="C60" t="s">
        <v>106</v>
      </c>
      <c r="D60" s="34" t="s">
        <v>359</v>
      </c>
      <c r="E60">
        <v>212611.03</v>
      </c>
    </row>
    <row r="61" spans="1:5" x14ac:dyDescent="0.35">
      <c r="A61" t="s">
        <v>15</v>
      </c>
      <c r="B61" t="s">
        <v>16</v>
      </c>
      <c r="C61" t="s">
        <v>106</v>
      </c>
      <c r="D61" s="34" t="s">
        <v>360</v>
      </c>
      <c r="E61">
        <v>122705.71</v>
      </c>
    </row>
    <row r="62" spans="1:5" x14ac:dyDescent="0.35">
      <c r="A62" t="s">
        <v>15</v>
      </c>
      <c r="B62" t="s">
        <v>16</v>
      </c>
      <c r="C62" t="s">
        <v>106</v>
      </c>
      <c r="D62" s="34" t="s">
        <v>342</v>
      </c>
      <c r="E62" s="37">
        <v>20205.330000000002</v>
      </c>
    </row>
    <row r="63" spans="1:5" x14ac:dyDescent="0.35">
      <c r="A63" t="s">
        <v>15</v>
      </c>
      <c r="B63" t="s">
        <v>16</v>
      </c>
      <c r="C63" t="s">
        <v>106</v>
      </c>
      <c r="D63" s="34" t="s">
        <v>361</v>
      </c>
      <c r="E63" s="37">
        <v>284552.89</v>
      </c>
    </row>
    <row r="64" spans="1:5" x14ac:dyDescent="0.35">
      <c r="A64" t="s">
        <v>18</v>
      </c>
      <c r="B64" t="s">
        <v>19</v>
      </c>
      <c r="C64" t="s">
        <v>105</v>
      </c>
      <c r="D64" s="34" t="s">
        <v>362</v>
      </c>
      <c r="E64" s="37">
        <v>3490879</v>
      </c>
    </row>
    <row r="65" spans="1:5" x14ac:dyDescent="0.35">
      <c r="A65" t="s">
        <v>18</v>
      </c>
      <c r="B65" t="s">
        <v>19</v>
      </c>
      <c r="C65" t="s">
        <v>105</v>
      </c>
      <c r="D65" s="34" t="s">
        <v>363</v>
      </c>
      <c r="E65" s="37">
        <v>167730</v>
      </c>
    </row>
    <row r="66" spans="1:5" x14ac:dyDescent="0.35">
      <c r="A66" t="s">
        <v>18</v>
      </c>
      <c r="B66" t="s">
        <v>19</v>
      </c>
      <c r="C66" t="s">
        <v>105</v>
      </c>
      <c r="D66" s="34" t="s">
        <v>364</v>
      </c>
      <c r="E66" s="37">
        <v>26.84</v>
      </c>
    </row>
    <row r="67" spans="1:5" x14ac:dyDescent="0.35">
      <c r="A67" t="s">
        <v>18</v>
      </c>
      <c r="B67" t="s">
        <v>19</v>
      </c>
      <c r="C67" t="s">
        <v>105</v>
      </c>
      <c r="D67" s="34" t="s">
        <v>313</v>
      </c>
      <c r="E67" s="37">
        <v>661.65</v>
      </c>
    </row>
    <row r="68" spans="1:5" x14ac:dyDescent="0.35">
      <c r="A68" t="s">
        <v>18</v>
      </c>
      <c r="B68" t="s">
        <v>19</v>
      </c>
      <c r="C68" t="s">
        <v>105</v>
      </c>
      <c r="D68" s="34" t="s">
        <v>347</v>
      </c>
      <c r="E68" s="37">
        <v>32835.18</v>
      </c>
    </row>
    <row r="69" spans="1:5" x14ac:dyDescent="0.35">
      <c r="A69" t="s">
        <v>18</v>
      </c>
      <c r="B69" t="s">
        <v>19</v>
      </c>
      <c r="C69" t="s">
        <v>105</v>
      </c>
      <c r="D69" s="34" t="s">
        <v>365</v>
      </c>
      <c r="E69" s="37">
        <v>88964</v>
      </c>
    </row>
    <row r="70" spans="1:5" x14ac:dyDescent="0.35">
      <c r="A70" t="s">
        <v>18</v>
      </c>
      <c r="B70" t="s">
        <v>19</v>
      </c>
      <c r="C70" t="s">
        <v>105</v>
      </c>
      <c r="D70" s="34" t="s">
        <v>310</v>
      </c>
      <c r="E70" s="37">
        <v>2419</v>
      </c>
    </row>
    <row r="71" spans="1:5" x14ac:dyDescent="0.35">
      <c r="A71" t="s">
        <v>18</v>
      </c>
      <c r="B71" t="s">
        <v>19</v>
      </c>
      <c r="C71" t="s">
        <v>105</v>
      </c>
      <c r="D71" s="34" t="s">
        <v>355</v>
      </c>
      <c r="E71" s="37">
        <v>2572</v>
      </c>
    </row>
    <row r="72" spans="1:5" ht="159.5" x14ac:dyDescent="0.35">
      <c r="A72" t="s">
        <v>18</v>
      </c>
      <c r="B72" t="s">
        <v>19</v>
      </c>
      <c r="C72" t="s">
        <v>106</v>
      </c>
      <c r="D72" s="5" t="s">
        <v>108</v>
      </c>
    </row>
    <row r="73" spans="1:5" ht="145" x14ac:dyDescent="0.35">
      <c r="A73" t="s">
        <v>20</v>
      </c>
      <c r="B73" t="s">
        <v>21</v>
      </c>
      <c r="C73" t="s">
        <v>107</v>
      </c>
      <c r="D73" s="5" t="s">
        <v>109</v>
      </c>
    </row>
    <row r="74" spans="1:5" ht="145" x14ac:dyDescent="0.35">
      <c r="A74" t="s">
        <v>20</v>
      </c>
      <c r="B74" t="s">
        <v>21</v>
      </c>
      <c r="C74" t="s">
        <v>105</v>
      </c>
      <c r="D74" s="5" t="s">
        <v>110</v>
      </c>
    </row>
    <row r="75" spans="1:5" ht="145" x14ac:dyDescent="0.35">
      <c r="A75" t="s">
        <v>20</v>
      </c>
      <c r="B75" t="s">
        <v>21</v>
      </c>
      <c r="C75" t="s">
        <v>106</v>
      </c>
      <c r="D75" s="5" t="s">
        <v>111</v>
      </c>
    </row>
    <row r="76" spans="1:5" ht="145" x14ac:dyDescent="0.35">
      <c r="A76" t="s">
        <v>22</v>
      </c>
      <c r="B76" t="s">
        <v>23</v>
      </c>
      <c r="C76" t="s">
        <v>107</v>
      </c>
      <c r="D76" s="5" t="s">
        <v>112</v>
      </c>
    </row>
    <row r="77" spans="1:5" ht="159.5" x14ac:dyDescent="0.35">
      <c r="A77" t="s">
        <v>22</v>
      </c>
      <c r="B77" t="s">
        <v>23</v>
      </c>
      <c r="C77" t="s">
        <v>105</v>
      </c>
      <c r="D77" s="5" t="s">
        <v>108</v>
      </c>
    </row>
    <row r="78" spans="1:5" ht="145" x14ac:dyDescent="0.35">
      <c r="A78" t="s">
        <v>22</v>
      </c>
      <c r="B78" t="s">
        <v>23</v>
      </c>
      <c r="C78" t="s">
        <v>106</v>
      </c>
      <c r="D78" s="5" t="s">
        <v>113</v>
      </c>
    </row>
    <row r="79" spans="1:5" ht="72.5" x14ac:dyDescent="0.35">
      <c r="A79" t="s">
        <v>24</v>
      </c>
      <c r="B79" t="s">
        <v>25</v>
      </c>
      <c r="C79" t="s">
        <v>107</v>
      </c>
      <c r="D79" s="5" t="s">
        <v>114</v>
      </c>
    </row>
    <row r="80" spans="1:5" ht="72.5" x14ac:dyDescent="0.35">
      <c r="A80" t="s">
        <v>24</v>
      </c>
      <c r="B80" t="s">
        <v>25</v>
      </c>
      <c r="C80" t="s">
        <v>105</v>
      </c>
      <c r="D80" s="5" t="s">
        <v>115</v>
      </c>
    </row>
    <row r="81" spans="1:4" ht="72.5" x14ac:dyDescent="0.35">
      <c r="A81" t="s">
        <v>24</v>
      </c>
      <c r="B81" t="s">
        <v>25</v>
      </c>
      <c r="C81" t="s">
        <v>106</v>
      </c>
      <c r="D81" s="5" t="s">
        <v>116</v>
      </c>
    </row>
    <row r="82" spans="1:4" ht="174" x14ac:dyDescent="0.35">
      <c r="A82" t="s">
        <v>27</v>
      </c>
      <c r="B82" t="s">
        <v>28</v>
      </c>
      <c r="C82" t="s">
        <v>107</v>
      </c>
      <c r="D82" s="5" t="s">
        <v>117</v>
      </c>
    </row>
    <row r="83" spans="1:4" ht="174" x14ac:dyDescent="0.35">
      <c r="A83" t="s">
        <v>27</v>
      </c>
      <c r="B83" t="s">
        <v>28</v>
      </c>
      <c r="C83" t="s">
        <v>105</v>
      </c>
      <c r="D83" s="5" t="s">
        <v>118</v>
      </c>
    </row>
    <row r="84" spans="1:4" ht="174" x14ac:dyDescent="0.35">
      <c r="A84" t="s">
        <v>27</v>
      </c>
      <c r="B84" t="s">
        <v>28</v>
      </c>
      <c r="C84" t="s">
        <v>106</v>
      </c>
      <c r="D84" s="5" t="s">
        <v>119</v>
      </c>
    </row>
    <row r="85" spans="1:4" ht="188.5" x14ac:dyDescent="0.35">
      <c r="A85" t="s">
        <v>30</v>
      </c>
      <c r="B85" t="s">
        <v>31</v>
      </c>
      <c r="C85" t="s">
        <v>107</v>
      </c>
      <c r="D85" s="5" t="s">
        <v>120</v>
      </c>
    </row>
    <row r="86" spans="1:4" ht="188.5" x14ac:dyDescent="0.35">
      <c r="A86" t="s">
        <v>30</v>
      </c>
      <c r="B86" t="s">
        <v>31</v>
      </c>
      <c r="C86" t="s">
        <v>105</v>
      </c>
      <c r="D86" s="5" t="s">
        <v>121</v>
      </c>
    </row>
    <row r="87" spans="1:4" ht="188.5" x14ac:dyDescent="0.35">
      <c r="A87" t="s">
        <v>30</v>
      </c>
      <c r="B87" t="s">
        <v>31</v>
      </c>
      <c r="C87" t="s">
        <v>106</v>
      </c>
      <c r="D87" s="5" t="s">
        <v>122</v>
      </c>
    </row>
    <row r="88" spans="1:4" ht="101.5" x14ac:dyDescent="0.35">
      <c r="A88" t="s">
        <v>32</v>
      </c>
      <c r="B88" t="s">
        <v>33</v>
      </c>
      <c r="C88" t="s">
        <v>107</v>
      </c>
      <c r="D88" s="5" t="s">
        <v>123</v>
      </c>
    </row>
    <row r="89" spans="1:4" ht="101.5" x14ac:dyDescent="0.35">
      <c r="A89" t="s">
        <v>32</v>
      </c>
      <c r="B89" t="s">
        <v>33</v>
      </c>
      <c r="C89" t="s">
        <v>105</v>
      </c>
      <c r="D89" s="5" t="s">
        <v>124</v>
      </c>
    </row>
    <row r="90" spans="1:4" ht="101.5" x14ac:dyDescent="0.35">
      <c r="A90" t="s">
        <v>32</v>
      </c>
      <c r="B90" t="s">
        <v>33</v>
      </c>
      <c r="C90" t="s">
        <v>106</v>
      </c>
      <c r="D90" s="5" t="s">
        <v>125</v>
      </c>
    </row>
    <row r="91" spans="1:4" ht="217.5" x14ac:dyDescent="0.35">
      <c r="A91" t="s">
        <v>34</v>
      </c>
      <c r="B91" t="s">
        <v>11</v>
      </c>
      <c r="C91" t="s">
        <v>107</v>
      </c>
      <c r="D91" s="5" t="s">
        <v>126</v>
      </c>
    </row>
    <row r="92" spans="1:4" ht="217.5" x14ac:dyDescent="0.35">
      <c r="A92" t="s">
        <v>34</v>
      </c>
      <c r="B92" t="s">
        <v>11</v>
      </c>
      <c r="C92" t="s">
        <v>105</v>
      </c>
      <c r="D92" s="5" t="s">
        <v>127</v>
      </c>
    </row>
    <row r="93" spans="1:4" ht="145" x14ac:dyDescent="0.35">
      <c r="A93" t="s">
        <v>35</v>
      </c>
      <c r="B93" t="s">
        <v>36</v>
      </c>
      <c r="C93" t="s">
        <v>107</v>
      </c>
      <c r="D93" s="5" t="s">
        <v>128</v>
      </c>
    </row>
    <row r="94" spans="1:4" ht="145" x14ac:dyDescent="0.35">
      <c r="A94" t="s">
        <v>35</v>
      </c>
      <c r="B94" t="s">
        <v>36</v>
      </c>
      <c r="C94" t="s">
        <v>105</v>
      </c>
      <c r="D94" s="5" t="s">
        <v>129</v>
      </c>
    </row>
    <row r="95" spans="1:4" ht="145" x14ac:dyDescent="0.35">
      <c r="A95" t="s">
        <v>35</v>
      </c>
      <c r="B95" t="s">
        <v>36</v>
      </c>
      <c r="C95" t="s">
        <v>106</v>
      </c>
      <c r="D95" s="5" t="s">
        <v>130</v>
      </c>
    </row>
  </sheetData>
  <phoneticPr fontId="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B94C-96F0-43FE-A2A9-B6DBEC1EED0D}">
  <dimension ref="A1:G13"/>
  <sheetViews>
    <sheetView workbookViewId="0">
      <selection activeCell="I5" sqref="I5"/>
    </sheetView>
  </sheetViews>
  <sheetFormatPr defaultRowHeight="14.5" x14ac:dyDescent="0.35"/>
  <cols>
    <col min="2" max="2" width="49.08984375" bestFit="1" customWidth="1"/>
    <col min="4" max="4" width="23.90625" bestFit="1" customWidth="1"/>
    <col min="5" max="5" width="14.08984375" bestFit="1" customWidth="1"/>
    <col min="6" max="6" width="14.08984375" customWidth="1"/>
    <col min="7" max="7" width="7.453125" bestFit="1" customWidth="1"/>
  </cols>
  <sheetData>
    <row r="1" spans="1:7" x14ac:dyDescent="0.35">
      <c r="D1" t="s">
        <v>424</v>
      </c>
    </row>
    <row r="2" spans="1:7" ht="29" x14ac:dyDescent="0.35">
      <c r="A2" s="94">
        <v>1</v>
      </c>
      <c r="B2" s="94" t="s">
        <v>9</v>
      </c>
      <c r="C2" t="s">
        <v>10</v>
      </c>
      <c r="D2" s="96" t="s">
        <v>425</v>
      </c>
      <c r="E2" s="97"/>
      <c r="F2" s="97"/>
      <c r="G2" s="97"/>
    </row>
    <row r="3" spans="1:7" x14ac:dyDescent="0.35">
      <c r="A3" s="94">
        <v>2</v>
      </c>
      <c r="B3" s="94" t="s">
        <v>12</v>
      </c>
      <c r="C3" t="s">
        <v>13</v>
      </c>
      <c r="D3" s="94" t="s">
        <v>99</v>
      </c>
      <c r="E3" s="94" t="s">
        <v>426</v>
      </c>
      <c r="F3" s="94">
        <f>(370+280)/2</f>
        <v>325</v>
      </c>
      <c r="G3" s="94">
        <v>1986</v>
      </c>
    </row>
    <row r="4" spans="1:7" ht="43.5" x14ac:dyDescent="0.35">
      <c r="A4" s="94">
        <v>3</v>
      </c>
      <c r="B4" s="94" t="s">
        <v>15</v>
      </c>
      <c r="C4" t="s">
        <v>16</v>
      </c>
      <c r="D4" s="96" t="s">
        <v>427</v>
      </c>
      <c r="E4" s="94" t="s">
        <v>428</v>
      </c>
      <c r="F4" s="94">
        <v>375</v>
      </c>
      <c r="G4" s="94">
        <v>2010</v>
      </c>
    </row>
    <row r="5" spans="1:7" ht="87" x14ac:dyDescent="0.35">
      <c r="A5" s="94">
        <v>4</v>
      </c>
      <c r="B5" s="95" t="s">
        <v>18</v>
      </c>
      <c r="C5" t="s">
        <v>19</v>
      </c>
      <c r="D5" s="96" t="s">
        <v>429</v>
      </c>
      <c r="E5" s="96" t="s">
        <v>430</v>
      </c>
      <c r="F5" s="96"/>
      <c r="G5" s="94" t="s">
        <v>431</v>
      </c>
    </row>
    <row r="6" spans="1:7" x14ac:dyDescent="0.35">
      <c r="A6" s="94">
        <v>5</v>
      </c>
      <c r="B6" s="94" t="s">
        <v>20</v>
      </c>
      <c r="C6" t="s">
        <v>21</v>
      </c>
      <c r="D6" s="94" t="s">
        <v>159</v>
      </c>
      <c r="E6" s="94" t="s">
        <v>159</v>
      </c>
      <c r="F6" s="94"/>
      <c r="G6" s="94" t="s">
        <v>159</v>
      </c>
    </row>
    <row r="7" spans="1:7" x14ac:dyDescent="0.35">
      <c r="A7" s="94">
        <v>6</v>
      </c>
      <c r="B7" s="94" t="s">
        <v>22</v>
      </c>
      <c r="C7" t="s">
        <v>23</v>
      </c>
      <c r="D7" s="94" t="s">
        <v>159</v>
      </c>
      <c r="E7" s="94" t="s">
        <v>159</v>
      </c>
      <c r="F7" s="94"/>
      <c r="G7" s="94" t="s">
        <v>159</v>
      </c>
    </row>
    <row r="8" spans="1:7" ht="29" x14ac:dyDescent="0.35">
      <c r="A8" s="94">
        <v>7</v>
      </c>
      <c r="B8" s="94" t="s">
        <v>24</v>
      </c>
      <c r="C8" t="s">
        <v>25</v>
      </c>
      <c r="D8" s="96" t="s">
        <v>432</v>
      </c>
      <c r="E8" s="98"/>
      <c r="F8" s="98"/>
      <c r="G8" s="94">
        <v>1996</v>
      </c>
    </row>
    <row r="9" spans="1:7" x14ac:dyDescent="0.35">
      <c r="A9" s="94">
        <v>8</v>
      </c>
      <c r="B9" s="94" t="s">
        <v>27</v>
      </c>
      <c r="C9" t="s">
        <v>28</v>
      </c>
      <c r="D9" s="94" t="s">
        <v>99</v>
      </c>
      <c r="E9" s="98"/>
      <c r="F9" s="98"/>
      <c r="G9" s="94">
        <v>1983</v>
      </c>
    </row>
    <row r="10" spans="1:7" x14ac:dyDescent="0.35">
      <c r="A10" s="94">
        <v>9</v>
      </c>
      <c r="B10" s="94" t="s">
        <v>30</v>
      </c>
      <c r="C10" t="s">
        <v>31</v>
      </c>
      <c r="D10" s="94" t="s">
        <v>99</v>
      </c>
      <c r="E10" s="98"/>
      <c r="F10" s="98"/>
      <c r="G10" s="98"/>
    </row>
    <row r="11" spans="1:7" x14ac:dyDescent="0.35">
      <c r="A11" s="94">
        <v>10</v>
      </c>
      <c r="B11" s="94" t="s">
        <v>32</v>
      </c>
      <c r="C11" t="s">
        <v>33</v>
      </c>
      <c r="D11" s="94" t="s">
        <v>159</v>
      </c>
      <c r="E11" s="94" t="s">
        <v>159</v>
      </c>
      <c r="F11" s="94"/>
      <c r="G11" s="94" t="s">
        <v>159</v>
      </c>
    </row>
    <row r="12" spans="1:7" x14ac:dyDescent="0.35">
      <c r="A12" s="94">
        <v>11</v>
      </c>
      <c r="B12" s="94" t="s">
        <v>34</v>
      </c>
      <c r="C12" t="s">
        <v>132</v>
      </c>
      <c r="D12" s="94" t="s">
        <v>159</v>
      </c>
      <c r="E12" s="94" t="s">
        <v>159</v>
      </c>
      <c r="F12" s="94"/>
      <c r="G12" s="94" t="s">
        <v>159</v>
      </c>
    </row>
    <row r="13" spans="1:7" x14ac:dyDescent="0.35">
      <c r="A13" s="94">
        <v>12</v>
      </c>
      <c r="B13" s="94" t="s">
        <v>35</v>
      </c>
      <c r="C13" t="s">
        <v>36</v>
      </c>
      <c r="D13" s="94" t="s">
        <v>159</v>
      </c>
      <c r="E13" s="94" t="s">
        <v>159</v>
      </c>
      <c r="F13" s="94"/>
      <c r="G13" s="94" t="s">
        <v>159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915E-7937-4379-962A-29B32B8B4612}">
  <dimension ref="A1:C10"/>
  <sheetViews>
    <sheetView tabSelected="1" workbookViewId="0">
      <selection activeCell="G5" sqref="G5"/>
    </sheetView>
  </sheetViews>
  <sheetFormatPr defaultRowHeight="14.5" x14ac:dyDescent="0.35"/>
  <cols>
    <col min="2" max="2" width="5.36328125" bestFit="1" customWidth="1"/>
    <col min="3" max="3" width="5.81640625" bestFit="1" customWidth="1"/>
  </cols>
  <sheetData>
    <row r="1" spans="1:3" x14ac:dyDescent="0.35">
      <c r="A1" s="38" t="s">
        <v>390</v>
      </c>
      <c r="B1" s="38" t="s">
        <v>434</v>
      </c>
      <c r="C1" s="101" t="s">
        <v>433</v>
      </c>
    </row>
    <row r="2" spans="1:3" x14ac:dyDescent="0.35">
      <c r="A2" s="102" t="s">
        <v>132</v>
      </c>
      <c r="B2" s="103">
        <v>62.38</v>
      </c>
      <c r="C2" s="104">
        <v>61.52</v>
      </c>
    </row>
    <row r="3" spans="1:3" x14ac:dyDescent="0.35">
      <c r="A3" s="102" t="s">
        <v>10</v>
      </c>
      <c r="B3" s="103">
        <v>40</v>
      </c>
      <c r="C3" s="104">
        <v>80</v>
      </c>
    </row>
    <row r="4" spans="1:3" x14ac:dyDescent="0.35">
      <c r="A4" s="102" t="s">
        <v>36</v>
      </c>
      <c r="B4" s="103">
        <v>38</v>
      </c>
      <c r="C4" s="104">
        <v>66.44</v>
      </c>
    </row>
    <row r="5" spans="1:3" x14ac:dyDescent="0.35">
      <c r="A5" s="102" t="s">
        <v>25</v>
      </c>
      <c r="B5" s="103">
        <v>39.35</v>
      </c>
      <c r="C5" s="104">
        <v>93.76</v>
      </c>
    </row>
    <row r="6" spans="1:3" x14ac:dyDescent="0.35">
      <c r="A6" s="102" t="s">
        <v>410</v>
      </c>
      <c r="B6" s="103">
        <v>34.31</v>
      </c>
      <c r="C6" s="104">
        <v>67.89</v>
      </c>
    </row>
    <row r="7" spans="1:3" x14ac:dyDescent="0.35">
      <c r="A7" s="102" t="s">
        <v>411</v>
      </c>
      <c r="B7" s="103">
        <v>34.31</v>
      </c>
      <c r="C7" s="104">
        <v>67.89</v>
      </c>
    </row>
    <row r="8" spans="1:3" x14ac:dyDescent="0.35">
      <c r="A8" s="102" t="s">
        <v>28</v>
      </c>
      <c r="B8" s="103">
        <v>23.91</v>
      </c>
      <c r="C8" s="104">
        <v>76.099999999999994</v>
      </c>
    </row>
    <row r="9" spans="1:3" x14ac:dyDescent="0.35">
      <c r="A9" s="102" t="s">
        <v>16</v>
      </c>
      <c r="B9" s="103">
        <v>0.35</v>
      </c>
      <c r="C9" s="104">
        <v>63</v>
      </c>
    </row>
    <row r="10" spans="1:3" x14ac:dyDescent="0.35">
      <c r="A10" s="102" t="s">
        <v>19</v>
      </c>
      <c r="B10" s="103">
        <v>0.32</v>
      </c>
      <c r="C10" s="104">
        <v>69.39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Plant_Master</vt:lpstr>
      <vt:lpstr>Fuel_Data</vt:lpstr>
      <vt:lpstr>OS_Power_Data</vt:lpstr>
      <vt:lpstr>RE_Data</vt:lpstr>
      <vt:lpstr>SCM_Data</vt:lpstr>
      <vt:lpstr>ARM_Data</vt:lpstr>
      <vt:lpstr>WHR_Data</vt:lpstr>
      <vt:lpstr>Low_Carbon_Product_Data</vt:lpstr>
      <vt:lpstr>Pilot_Tech_Data</vt:lpstr>
      <vt:lpstr>Raw_Material_Consumption</vt:lpstr>
      <vt:lpstr>products</vt:lpstr>
      <vt:lpstr>SCM VS 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 Hedau</cp:lastModifiedBy>
  <dcterms:created xsi:type="dcterms:W3CDTF">2026-06-11T09:33:04Z</dcterms:created>
  <dcterms:modified xsi:type="dcterms:W3CDTF">2026-08-26T13:24:38Z</dcterms:modified>
</cp:coreProperties>
</file>